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SENA\JUEVES CLASES\Bases de datos clase\"/>
    </mc:Choice>
  </mc:AlternateContent>
  <xr:revisionPtr revIDLastSave="0" documentId="13_ncr:1_{8415B503-483E-456B-A0B7-73FF07861D78}" xr6:coauthVersionLast="36" xr6:coauthVersionMax="47" xr10:uidLastSave="{00000000-0000-0000-0000-000000000000}"/>
  <bookViews>
    <workbookView xWindow="0" yWindow="0" windowWidth="16392" windowHeight="5460" firstSheet="1" activeTab="3" xr2:uid="{FCDE7BDC-1CA9-42B2-A0BE-93FD96275EAA}"/>
  </bookViews>
  <sheets>
    <sheet name="cliente" sheetId="1" r:id="rId1"/>
    <sheet name="tienda" sheetId="4" r:id="rId2"/>
    <sheet name="vendedor" sheetId="5" r:id="rId3"/>
    <sheet name="informe" sheetId="6" r:id="rId4"/>
    <sheet name="venta" sheetId="7" r:id="rId5"/>
    <sheet name="producto" sheetId="8" r:id="rId6"/>
    <sheet name="categoria" sheetId="9" r:id="rId7"/>
    <sheet name="municipio" sheetId="3" r:id="rId8"/>
    <sheet name="tipo_doc_identidad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6" l="1"/>
  <c r="I5" i="6"/>
  <c r="I4" i="6"/>
  <c r="I3" i="6"/>
  <c r="I2" i="6"/>
  <c r="H6" i="6"/>
  <c r="H5" i="6"/>
  <c r="H4" i="6"/>
  <c r="H3" i="6"/>
  <c r="H2" i="6"/>
  <c r="G6" i="6"/>
  <c r="G5" i="6"/>
  <c r="G4" i="6"/>
  <c r="G3" i="6"/>
  <c r="G2" i="6"/>
  <c r="F6" i="6"/>
  <c r="F5" i="6"/>
  <c r="F4" i="6"/>
  <c r="F3" i="6"/>
  <c r="F2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2" i="6"/>
  <c r="C6" i="7"/>
  <c r="C5" i="7"/>
  <c r="C4" i="7"/>
  <c r="C3" i="7"/>
  <c r="C2" i="7"/>
  <c r="D2" i="6"/>
  <c r="C2" i="6"/>
  <c r="B2" i="6"/>
  <c r="F6" i="7"/>
  <c r="E6" i="7"/>
  <c r="B6" i="7"/>
  <c r="F5" i="7"/>
  <c r="E5" i="7"/>
  <c r="B5" i="7"/>
  <c r="F4" i="7"/>
  <c r="E4" i="7"/>
  <c r="B4" i="7"/>
  <c r="F3" i="7"/>
  <c r="E3" i="7"/>
  <c r="B3" i="7"/>
  <c r="F2" i="7"/>
  <c r="E2" i="7"/>
  <c r="D13" i="8"/>
  <c r="D12" i="8"/>
  <c r="D11" i="8"/>
  <c r="D10" i="8"/>
  <c r="D7" i="8"/>
  <c r="D9" i="8"/>
  <c r="D8" i="8"/>
  <c r="D6" i="8"/>
  <c r="D5" i="8"/>
  <c r="D4" i="8"/>
  <c r="D3" i="8"/>
  <c r="D2" i="8"/>
  <c r="B2" i="7"/>
  <c r="L6" i="5" l="1"/>
  <c r="K6" i="5"/>
  <c r="L5" i="5"/>
  <c r="L4" i="5"/>
  <c r="L3" i="5"/>
  <c r="L2" i="5"/>
  <c r="K5" i="5"/>
  <c r="K4" i="5"/>
  <c r="K3" i="5"/>
  <c r="K2" i="5"/>
  <c r="F6" i="5"/>
  <c r="F5" i="5"/>
  <c r="F4" i="5"/>
  <c r="F3" i="5"/>
  <c r="F2" i="5"/>
  <c r="K3" i="1"/>
  <c r="K2" i="1"/>
  <c r="F3" i="1"/>
  <c r="F2" i="1"/>
</calcChain>
</file>

<file path=xl/sharedStrings.xml><?xml version="1.0" encoding="utf-8"?>
<sst xmlns="http://schemas.openxmlformats.org/spreadsheetml/2006/main" count="135" uniqueCount="133">
  <si>
    <t>nombre2_cliente</t>
  </si>
  <si>
    <t>Rojas</t>
  </si>
  <si>
    <t>nombre1_cliente(*)</t>
  </si>
  <si>
    <t>apellido1_cliente(*)</t>
  </si>
  <si>
    <t>apellido2_cliente</t>
  </si>
  <si>
    <t>celular_cliente(*)</t>
  </si>
  <si>
    <t>email_cliente(*)</t>
  </si>
  <si>
    <t>direccion_cliente(*)</t>
  </si>
  <si>
    <t>doc_identidad_cliente(*)</t>
  </si>
  <si>
    <t xml:space="preserve">laura </t>
  </si>
  <si>
    <t>maria</t>
  </si>
  <si>
    <t>perez</t>
  </si>
  <si>
    <t>lopez</t>
  </si>
  <si>
    <t>CC</t>
  </si>
  <si>
    <t>laura@gmail.com</t>
  </si>
  <si>
    <t>calle 123 # 12-34</t>
  </si>
  <si>
    <t>Medellin</t>
  </si>
  <si>
    <t>castaño</t>
  </si>
  <si>
    <t>pedro@gmail.com</t>
  </si>
  <si>
    <t>calle 123 # 23-45</t>
  </si>
  <si>
    <t>pedro</t>
  </si>
  <si>
    <t>pascal</t>
  </si>
  <si>
    <t>gomez</t>
  </si>
  <si>
    <t>id_tipo_doc_identidad(PK)</t>
  </si>
  <si>
    <t>TI</t>
  </si>
  <si>
    <t>PPT</t>
  </si>
  <si>
    <t>nombre_tipo_doc_identidad(*)</t>
  </si>
  <si>
    <t>tipo_doc_identidad_cliente(FK)(1:1)</t>
  </si>
  <si>
    <t>id_municipio(PK)</t>
  </si>
  <si>
    <t>nombre_municipio(*)</t>
  </si>
  <si>
    <t>Envigado</t>
  </si>
  <si>
    <t xml:space="preserve">Sabaneta </t>
  </si>
  <si>
    <t>municipio_cliente(FK)</t>
  </si>
  <si>
    <t>id_tienda(PK)</t>
  </si>
  <si>
    <t>nombre_tienda(*)</t>
  </si>
  <si>
    <t>Tienda A</t>
  </si>
  <si>
    <t>Tienda B</t>
  </si>
  <si>
    <t>Tienda C</t>
  </si>
  <si>
    <t>id_vendedor(PK)</t>
  </si>
  <si>
    <t>nombre1_vendedor(*)</t>
  </si>
  <si>
    <t>nombre2_vendedor</t>
  </si>
  <si>
    <t>apellido1_vendedor(*)</t>
  </si>
  <si>
    <t>apellido2_vendedor</t>
  </si>
  <si>
    <t>tipo_doc_identidad_vendedor(FK)(1:1)</t>
  </si>
  <si>
    <t>doc_identidad_vendedor(*)</t>
  </si>
  <si>
    <t>Perez</t>
  </si>
  <si>
    <t>Lopez</t>
  </si>
  <si>
    <t>Garcia</t>
  </si>
  <si>
    <t>Martinez</t>
  </si>
  <si>
    <t xml:space="preserve">Sofia </t>
  </si>
  <si>
    <t xml:space="preserve">Valentina </t>
  </si>
  <si>
    <t xml:space="preserve">Carlos </t>
  </si>
  <si>
    <t xml:space="preserve">Marta </t>
  </si>
  <si>
    <t xml:space="preserve">Andres </t>
  </si>
  <si>
    <t>celular_vendedor(*)</t>
  </si>
  <si>
    <t>email_vendedor(*)</t>
  </si>
  <si>
    <t>direccion_vendedor(*)</t>
  </si>
  <si>
    <t>municipio_vendedor(FK)(1:1)</t>
  </si>
  <si>
    <t>tienda_vendedor(FK)(1:N)</t>
  </si>
  <si>
    <t>id_venta(PK)</t>
  </si>
  <si>
    <t>cliente(PK)</t>
  </si>
  <si>
    <t>producto(FK)</t>
  </si>
  <si>
    <t>cantidad_venta(*)</t>
  </si>
  <si>
    <t>precio_unitario(FK)</t>
  </si>
  <si>
    <t>total_venta(*)</t>
  </si>
  <si>
    <t>id_cliente(PK)</t>
  </si>
  <si>
    <t>Arturo</t>
  </si>
  <si>
    <t>Lucia</t>
  </si>
  <si>
    <t>Andres</t>
  </si>
  <si>
    <t>Vanesa</t>
  </si>
  <si>
    <t>Andrea</t>
  </si>
  <si>
    <t>Zapata</t>
  </si>
  <si>
    <t>Almiron</t>
  </si>
  <si>
    <t>Arango</t>
  </si>
  <si>
    <t>juan.gomez@gmail.com</t>
  </si>
  <si>
    <t>maria.lopez@hotmail.com</t>
  </si>
  <si>
    <t>carlos.torres@yahoo.com</t>
  </si>
  <si>
    <t>laura.ramirez@outlook.com</t>
  </si>
  <si>
    <t>sofia.martinez@gmail.com</t>
  </si>
  <si>
    <t>Calle 45 # 12-34</t>
  </si>
  <si>
    <t>Carrera 18 # 56-21</t>
  </si>
  <si>
    <t>Avenida 80 # 34-18</t>
  </si>
  <si>
    <t>Calle 72 # 15-09</t>
  </si>
  <si>
    <t>Carrera 50 # 101-45</t>
  </si>
  <si>
    <t>id_producto(PK)</t>
  </si>
  <si>
    <t>nombre_producto(*)</t>
  </si>
  <si>
    <t>descripcion_producto</t>
  </si>
  <si>
    <t>precio_compra(*)</t>
  </si>
  <si>
    <t>precio_venta(*)</t>
  </si>
  <si>
    <t>stock_producto(*)</t>
  </si>
  <si>
    <t>Camisa</t>
  </si>
  <si>
    <t>Pantalon</t>
  </si>
  <si>
    <t>Cinturon</t>
  </si>
  <si>
    <t>Falda</t>
  </si>
  <si>
    <t>Blusa</t>
  </si>
  <si>
    <t>Gorra</t>
  </si>
  <si>
    <t>Chaqueta</t>
  </si>
  <si>
    <t>Vestido</t>
  </si>
  <si>
    <t>Bufanda</t>
  </si>
  <si>
    <t>Medias</t>
  </si>
  <si>
    <t>Zapatos</t>
  </si>
  <si>
    <t>Correa</t>
  </si>
  <si>
    <t>Camisa de algodón manga larga</t>
  </si>
  <si>
    <t>Pantalón jean clásico</t>
  </si>
  <si>
    <t>Cinturón de cuero sintético</t>
  </si>
  <si>
    <t>Falda casual para dama</t>
  </si>
  <si>
    <t>Blusa de tela fresca</t>
  </si>
  <si>
    <t>Gorra deportiva ajustable</t>
  </si>
  <si>
    <t>Chaqueta impermeable</t>
  </si>
  <si>
    <t>Vestido casual elegante</t>
  </si>
  <si>
    <t>Bufanda tejida para clima frío</t>
  </si>
  <si>
    <t>Par de medias deportivas</t>
  </si>
  <si>
    <t>Zapatos deportivos unisex</t>
  </si>
  <si>
    <t>Correa de cuero para vestir</t>
  </si>
  <si>
    <t>Ropa Superior</t>
  </si>
  <si>
    <t>Ropa Inferior</t>
  </si>
  <si>
    <t>Accesorios</t>
  </si>
  <si>
    <t>id_categoria</t>
  </si>
  <si>
    <t>nombre_categoria(*)</t>
  </si>
  <si>
    <t>Ropa Completa</t>
  </si>
  <si>
    <t>Ropa Interior</t>
  </si>
  <si>
    <t>Calzado</t>
  </si>
  <si>
    <t>categoria_producto(FK)</t>
  </si>
  <si>
    <t>precio_venta(FK)</t>
  </si>
  <si>
    <t>id_informe(PK)</t>
  </si>
  <si>
    <t>cliente_venta_realizada_informe(PK)</t>
  </si>
  <si>
    <t>tienda_informe(FK)</t>
  </si>
  <si>
    <t>vendedor_informe(FK)</t>
  </si>
  <si>
    <t>venta_realizada_informe</t>
  </si>
  <si>
    <t>producto_vendido_informe</t>
  </si>
  <si>
    <t>categoria_producto_informe</t>
  </si>
  <si>
    <t>municipio_del_vendedor_informe</t>
  </si>
  <si>
    <t>tipo_de_documento_informe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</si>
</sst>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6" borderId="0" xfId="0" applyFont="1" applyFill="1"/>
    <xf numFmtId="0" fontId="4" fillId="0" borderId="1" xfId="0" applyFont="1" applyBorder="1" applyAlignment="1">
      <alignment wrapText="1"/>
    </xf>
    <xf numFmtId="44" fontId="0" fillId="0" borderId="0" xfId="2" applyFont="1"/>
    <xf numFmtId="44" fontId="0" fillId="0" borderId="0" xfId="0" applyNumberFormat="1"/>
    <xf numFmtId="0" fontId="0" fillId="7" borderId="0" xfId="0" applyFill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edro@gmail.com" TargetMode="External"/><Relationship Id="rId1" Type="http://schemas.openxmlformats.org/officeDocument/2006/relationships/hyperlink" Target="mailto:laur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.torres@yahoo.com" TargetMode="External"/><Relationship Id="rId2" Type="http://schemas.openxmlformats.org/officeDocument/2006/relationships/hyperlink" Target="mailto:maria.lopez@hotmail.com" TargetMode="External"/><Relationship Id="rId1" Type="http://schemas.openxmlformats.org/officeDocument/2006/relationships/hyperlink" Target="mailto:juan.gomez@gmail.com" TargetMode="External"/><Relationship Id="rId5" Type="http://schemas.openxmlformats.org/officeDocument/2006/relationships/hyperlink" Target="mailto:sofia.martinez@gmail.com" TargetMode="External"/><Relationship Id="rId4" Type="http://schemas.openxmlformats.org/officeDocument/2006/relationships/hyperlink" Target="mailto:laura.ramirez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B69B-88D0-41E1-9552-FE0B5E7AE842}">
  <dimension ref="A1:K501"/>
  <sheetViews>
    <sheetView zoomScale="70" zoomScaleNormal="70" workbookViewId="0">
      <selection activeCell="D11" sqref="D11"/>
    </sheetView>
  </sheetViews>
  <sheetFormatPr baseColWidth="10" defaultRowHeight="13.8"/>
  <cols>
    <col min="1" max="1" width="12.5" customWidth="1"/>
    <col min="2" max="2" width="17.8984375" customWidth="1"/>
    <col min="3" max="3" width="17.69921875" customWidth="1"/>
    <col min="4" max="4" width="18.69921875" customWidth="1"/>
    <col min="5" max="5" width="15.8984375" customWidth="1"/>
    <col min="6" max="6" width="32" customWidth="1"/>
    <col min="7" max="7" width="22.59765625" customWidth="1"/>
    <col min="8" max="8" width="16.09765625" customWidth="1"/>
    <col min="9" max="9" width="17.69921875" customWidth="1"/>
    <col min="10" max="10" width="18.3984375" customWidth="1"/>
    <col min="11" max="11" width="20.09765625" customWidth="1"/>
  </cols>
  <sheetData>
    <row r="1" spans="1:11">
      <c r="A1" s="5" t="s">
        <v>65</v>
      </c>
      <c r="B1" s="6" t="s">
        <v>2</v>
      </c>
      <c r="C1" s="6" t="s">
        <v>0</v>
      </c>
      <c r="D1" s="6" t="s">
        <v>3</v>
      </c>
      <c r="E1" s="6" t="s">
        <v>4</v>
      </c>
      <c r="F1" s="2" t="s">
        <v>27</v>
      </c>
      <c r="G1" s="6" t="s">
        <v>8</v>
      </c>
      <c r="H1" s="6" t="s">
        <v>5</v>
      </c>
      <c r="I1" s="6" t="s">
        <v>6</v>
      </c>
      <c r="J1" s="6" t="s">
        <v>7</v>
      </c>
      <c r="K1" s="3" t="s">
        <v>32</v>
      </c>
    </row>
    <row r="2" spans="1:11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f>tipo_doc_identidad!A2</f>
        <v>1</v>
      </c>
      <c r="G2">
        <v>12345678</v>
      </c>
      <c r="H2">
        <v>3101111111</v>
      </c>
      <c r="I2" s="1" t="s">
        <v>14</v>
      </c>
      <c r="J2" t="s">
        <v>15</v>
      </c>
      <c r="K2">
        <f>municipio!A2</f>
        <v>1</v>
      </c>
    </row>
    <row r="3" spans="1:11">
      <c r="A3">
        <v>2</v>
      </c>
      <c r="B3" t="s">
        <v>20</v>
      </c>
      <c r="C3" t="s">
        <v>21</v>
      </c>
      <c r="D3" t="s">
        <v>22</v>
      </c>
      <c r="E3" t="s">
        <v>17</v>
      </c>
      <c r="F3">
        <f>tipo_doc_identidad!A2</f>
        <v>1</v>
      </c>
      <c r="G3">
        <v>2345678</v>
      </c>
      <c r="H3">
        <v>3102222222</v>
      </c>
      <c r="I3" s="1" t="s">
        <v>18</v>
      </c>
      <c r="J3" t="s">
        <v>19</v>
      </c>
      <c r="K3">
        <f>municipio!A2</f>
        <v>1</v>
      </c>
    </row>
    <row r="4" spans="1:11">
      <c r="A4">
        <v>3</v>
      </c>
    </row>
    <row r="5" spans="1:11">
      <c r="A5">
        <v>4</v>
      </c>
    </row>
    <row r="6" spans="1:11">
      <c r="A6">
        <v>5</v>
      </c>
    </row>
    <row r="7" spans="1:11">
      <c r="A7">
        <v>6</v>
      </c>
    </row>
    <row r="8" spans="1:11">
      <c r="A8">
        <v>7</v>
      </c>
    </row>
    <row r="9" spans="1:11">
      <c r="A9">
        <v>8</v>
      </c>
    </row>
    <row r="10" spans="1:11">
      <c r="A10">
        <v>9</v>
      </c>
    </row>
    <row r="11" spans="1:11">
      <c r="A11">
        <v>10</v>
      </c>
    </row>
    <row r="12" spans="1:11">
      <c r="A12">
        <v>11</v>
      </c>
    </row>
    <row r="13" spans="1:11">
      <c r="A13">
        <v>12</v>
      </c>
    </row>
    <row r="14" spans="1:11">
      <c r="A14">
        <v>13</v>
      </c>
    </row>
    <row r="15" spans="1:11">
      <c r="A15">
        <v>14</v>
      </c>
    </row>
    <row r="16" spans="1:1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1">
      <c r="A427">
        <v>426</v>
      </c>
    </row>
    <row r="428" spans="1:1">
      <c r="A428">
        <v>427</v>
      </c>
    </row>
    <row r="429" spans="1:1">
      <c r="A429">
        <v>428</v>
      </c>
    </row>
    <row r="430" spans="1:1">
      <c r="A430">
        <v>429</v>
      </c>
    </row>
    <row r="431" spans="1:1">
      <c r="A431">
        <v>430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1">
      <c r="A443">
        <v>442</v>
      </c>
    </row>
    <row r="444" spans="1:1">
      <c r="A444">
        <v>443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1">
      <c r="A451">
        <v>450</v>
      </c>
    </row>
    <row r="452" spans="1:1">
      <c r="A452">
        <v>451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1">
      <c r="A471">
        <v>470</v>
      </c>
    </row>
    <row r="472" spans="1:1">
      <c r="A472">
        <v>471</v>
      </c>
    </row>
    <row r="473" spans="1:1">
      <c r="A473">
        <v>472</v>
      </c>
    </row>
    <row r="474" spans="1:1">
      <c r="A474">
        <v>473</v>
      </c>
    </row>
    <row r="475" spans="1:1">
      <c r="A475">
        <v>474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1">
      <c r="A485">
        <v>484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1">
      <c r="A489">
        <v>488</v>
      </c>
    </row>
    <row r="490" spans="1:1">
      <c r="A490">
        <v>489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1">
      <c r="A494">
        <v>493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</sheetData>
  <hyperlinks>
    <hyperlink ref="I2" r:id="rId1" xr:uid="{91DC9233-15CD-4B6F-B796-64D44B0C7AC5}"/>
    <hyperlink ref="I3" r:id="rId2" xr:uid="{19DA22F6-C980-4661-A836-7C225FD008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FFC6-1CD5-48CE-89E7-C51EA747E6B4}">
  <dimension ref="A1:B11"/>
  <sheetViews>
    <sheetView zoomScale="70" zoomScaleNormal="70" workbookViewId="0">
      <selection activeCell="C11" sqref="C11"/>
    </sheetView>
  </sheetViews>
  <sheetFormatPr baseColWidth="10" defaultRowHeight="13.8"/>
  <cols>
    <col min="1" max="1" width="13" customWidth="1"/>
    <col min="2" max="2" width="16.3984375" customWidth="1"/>
  </cols>
  <sheetData>
    <row r="1" spans="1:2">
      <c r="A1" s="4" t="s">
        <v>33</v>
      </c>
      <c r="B1" s="6" t="s">
        <v>34</v>
      </c>
    </row>
    <row r="2" spans="1:2">
      <c r="A2">
        <v>1</v>
      </c>
      <c r="B2" t="s">
        <v>35</v>
      </c>
    </row>
    <row r="3" spans="1:2">
      <c r="A3">
        <v>2</v>
      </c>
      <c r="B3" t="s">
        <v>36</v>
      </c>
    </row>
    <row r="4" spans="1:2">
      <c r="A4">
        <v>3</v>
      </c>
      <c r="B4" t="s">
        <v>37</v>
      </c>
    </row>
    <row r="5" spans="1:2">
      <c r="A5">
        <v>4</v>
      </c>
    </row>
    <row r="6" spans="1:2">
      <c r="A6">
        <v>5</v>
      </c>
    </row>
    <row r="7" spans="1:2">
      <c r="A7">
        <v>6</v>
      </c>
    </row>
    <row r="8" spans="1:2">
      <c r="A8">
        <v>7</v>
      </c>
    </row>
    <row r="9" spans="1:2">
      <c r="A9">
        <v>8</v>
      </c>
    </row>
    <row r="10" spans="1:2">
      <c r="A10">
        <v>9</v>
      </c>
    </row>
    <row r="11" spans="1:2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D3C6-959F-4131-B060-161429AC7E07}">
  <dimension ref="A1:L6"/>
  <sheetViews>
    <sheetView zoomScale="70" zoomScaleNormal="70" workbookViewId="0">
      <selection activeCell="K18" sqref="K18"/>
    </sheetView>
  </sheetViews>
  <sheetFormatPr baseColWidth="10" defaultRowHeight="13.8"/>
  <cols>
    <col min="1" max="1" width="15.09765625" customWidth="1"/>
    <col min="2" max="2" width="20.8984375" customWidth="1"/>
    <col min="3" max="3" width="19.59765625" customWidth="1"/>
    <col min="4" max="4" width="20.8984375" customWidth="1"/>
    <col min="5" max="5" width="18.09765625" customWidth="1"/>
    <col min="6" max="6" width="34.8984375" customWidth="1"/>
    <col min="7" max="7" width="24.69921875" customWidth="1"/>
    <col min="8" max="8" width="18.8984375" customWidth="1"/>
    <col min="9" max="9" width="23.5" customWidth="1"/>
    <col min="10" max="10" width="22.296875" customWidth="1"/>
    <col min="11" max="11" width="26" customWidth="1"/>
    <col min="12" max="12" width="23.296875" customWidth="1"/>
  </cols>
  <sheetData>
    <row r="1" spans="1:12">
      <c r="A1" s="4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2" t="s">
        <v>43</v>
      </c>
      <c r="G1" s="6" t="s">
        <v>44</v>
      </c>
      <c r="H1" s="6" t="s">
        <v>54</v>
      </c>
      <c r="I1" s="6" t="s">
        <v>55</v>
      </c>
      <c r="J1" s="6" t="s">
        <v>56</v>
      </c>
      <c r="K1" s="3" t="s">
        <v>57</v>
      </c>
      <c r="L1" s="4" t="s">
        <v>58</v>
      </c>
    </row>
    <row r="2" spans="1:12">
      <c r="A2">
        <v>1</v>
      </c>
      <c r="B2" t="s">
        <v>53</v>
      </c>
      <c r="C2" t="s">
        <v>66</v>
      </c>
      <c r="D2" t="s">
        <v>45</v>
      </c>
      <c r="E2" t="s">
        <v>48</v>
      </c>
      <c r="F2">
        <f>tipo_doc_identidad!A2</f>
        <v>1</v>
      </c>
      <c r="G2">
        <v>1038456721</v>
      </c>
      <c r="H2">
        <v>3104567821</v>
      </c>
      <c r="I2" s="1" t="s">
        <v>74</v>
      </c>
      <c r="J2" t="s">
        <v>79</v>
      </c>
      <c r="K2">
        <f>municipio!A2</f>
        <v>1</v>
      </c>
      <c r="L2">
        <f>tienda!A2</f>
        <v>1</v>
      </c>
    </row>
    <row r="3" spans="1:12">
      <c r="A3">
        <v>2</v>
      </c>
      <c r="B3" t="s">
        <v>52</v>
      </c>
      <c r="C3" t="s">
        <v>67</v>
      </c>
      <c r="D3" t="s">
        <v>1</v>
      </c>
      <c r="E3" t="s">
        <v>1</v>
      </c>
      <c r="F3">
        <f>tipo_doc_identidad!A2</f>
        <v>1</v>
      </c>
      <c r="G3">
        <v>1019274835</v>
      </c>
      <c r="H3">
        <v>3158923476</v>
      </c>
      <c r="I3" s="1" t="s">
        <v>75</v>
      </c>
      <c r="J3" t="s">
        <v>80</v>
      </c>
      <c r="K3">
        <f>municipio!A4</f>
        <v>3</v>
      </c>
      <c r="L3">
        <f>tienda!A4</f>
        <v>3</v>
      </c>
    </row>
    <row r="4" spans="1:12">
      <c r="A4">
        <v>3</v>
      </c>
      <c r="B4" t="s">
        <v>51</v>
      </c>
      <c r="C4" t="s">
        <v>68</v>
      </c>
      <c r="D4" t="s">
        <v>46</v>
      </c>
      <c r="E4" t="s">
        <v>71</v>
      </c>
      <c r="F4">
        <f>tipo_doc_identidad!A2</f>
        <v>1</v>
      </c>
      <c r="G4">
        <v>1096542187</v>
      </c>
      <c r="H4">
        <v>3206749185</v>
      </c>
      <c r="I4" s="1" t="s">
        <v>76</v>
      </c>
      <c r="J4" t="s">
        <v>81</v>
      </c>
      <c r="K4">
        <f>municipio!A3</f>
        <v>2</v>
      </c>
      <c r="L4">
        <f>tienda!A2</f>
        <v>1</v>
      </c>
    </row>
    <row r="5" spans="1:12">
      <c r="A5">
        <v>4</v>
      </c>
      <c r="B5" t="s">
        <v>50</v>
      </c>
      <c r="C5" t="s">
        <v>69</v>
      </c>
      <c r="D5" t="s">
        <v>47</v>
      </c>
      <c r="E5" t="s">
        <v>72</v>
      </c>
      <c r="F5">
        <f>tipo_doc_identidad!A4</f>
        <v>3</v>
      </c>
      <c r="G5">
        <v>1005837492</v>
      </c>
      <c r="H5">
        <v>3115830269</v>
      </c>
      <c r="I5" s="1" t="s">
        <v>77</v>
      </c>
      <c r="J5" t="s">
        <v>82</v>
      </c>
      <c r="K5">
        <f>municipio!A2</f>
        <v>1</v>
      </c>
      <c r="L5">
        <f>tienda!A3</f>
        <v>2</v>
      </c>
    </row>
    <row r="6" spans="1:12">
      <c r="A6">
        <v>5</v>
      </c>
      <c r="B6" t="s">
        <v>49</v>
      </c>
      <c r="C6" t="s">
        <v>70</v>
      </c>
      <c r="D6" t="s">
        <v>48</v>
      </c>
      <c r="E6" t="s">
        <v>73</v>
      </c>
      <c r="F6">
        <f>tipo_doc_identidad!A2</f>
        <v>1</v>
      </c>
      <c r="G6">
        <v>1024169583</v>
      </c>
      <c r="H6">
        <v>3187401592</v>
      </c>
      <c r="I6" s="1" t="s">
        <v>78</v>
      </c>
      <c r="J6" t="s">
        <v>83</v>
      </c>
      <c r="K6">
        <f>municipio!A4</f>
        <v>3</v>
      </c>
      <c r="L6">
        <f>tienda!A4</f>
        <v>3</v>
      </c>
    </row>
  </sheetData>
  <hyperlinks>
    <hyperlink ref="I2" r:id="rId1" xr:uid="{0D9606FB-1574-4076-842D-76671130B74C}"/>
    <hyperlink ref="I3" r:id="rId2" xr:uid="{C634C755-1A8F-4FF5-96CC-0A2DDCE58C17}"/>
    <hyperlink ref="I4" r:id="rId3" xr:uid="{D27A4B21-B512-48BA-9FDE-05344808154B}"/>
    <hyperlink ref="I5" r:id="rId4" xr:uid="{B599D650-D67C-4F7F-AEC6-19C2B713F4C6}"/>
    <hyperlink ref="I6" r:id="rId5" xr:uid="{7FD460F7-0609-4E89-B430-6306841496E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3702-815E-44C7-AA13-DABC5DA74087}">
  <dimension ref="A1:I6"/>
  <sheetViews>
    <sheetView tabSelected="1" zoomScale="70" zoomScaleNormal="70" workbookViewId="0">
      <selection activeCell="I7" sqref="I7"/>
    </sheetView>
  </sheetViews>
  <sheetFormatPr baseColWidth="10" defaultRowHeight="13.8"/>
  <cols>
    <col min="1" max="1" width="14.296875" customWidth="1"/>
    <col min="2" max="2" width="31.296875" customWidth="1"/>
    <col min="3" max="3" width="16.59765625" customWidth="1"/>
    <col min="4" max="4" width="20" customWidth="1"/>
    <col min="5" max="5" width="20.3984375" customWidth="1"/>
    <col min="6" max="6" width="22.19921875" customWidth="1"/>
    <col min="7" max="7" width="23.8984375" customWidth="1"/>
    <col min="8" max="8" width="27.19921875" customWidth="1"/>
    <col min="9" max="9" width="23.69921875" customWidth="1"/>
  </cols>
  <sheetData>
    <row r="1" spans="1:9">
      <c r="A1" s="12" t="s">
        <v>124</v>
      </c>
      <c r="B1" s="12" t="s">
        <v>125</v>
      </c>
      <c r="C1" s="7" t="s">
        <v>126</v>
      </c>
      <c r="D1" s="7" t="s">
        <v>127</v>
      </c>
      <c r="E1" s="7" t="s">
        <v>128</v>
      </c>
      <c r="F1" s="7" t="s">
        <v>129</v>
      </c>
      <c r="G1" s="7" t="s">
        <v>130</v>
      </c>
      <c r="H1" s="7" t="s">
        <v>131</v>
      </c>
      <c r="I1" s="7" t="s">
        <v>132</v>
      </c>
    </row>
    <row r="2" spans="1:9">
      <c r="A2">
        <v>1</v>
      </c>
      <c r="B2">
        <f>cliente!A2</f>
        <v>1</v>
      </c>
      <c r="C2" t="str">
        <f>tienda!B2</f>
        <v>Tienda A</v>
      </c>
      <c r="D2" t="str">
        <f>vendedor!B2</f>
        <v xml:space="preserve">Andres </v>
      </c>
      <c r="E2" s="11">
        <f>venta!G2</f>
        <v>56000</v>
      </c>
      <c r="F2" t="str">
        <f>venta!C2</f>
        <v>Camisa</v>
      </c>
      <c r="G2">
        <f>producto!D2</f>
        <v>1</v>
      </c>
      <c r="H2">
        <f>vendedor!K2</f>
        <v>1</v>
      </c>
      <c r="I2">
        <f>vendedor!G2</f>
        <v>1038456721</v>
      </c>
    </row>
    <row r="3" spans="1:9">
      <c r="A3">
        <v>2</v>
      </c>
      <c r="B3">
        <f>cliente!A2</f>
        <v>1</v>
      </c>
      <c r="C3" t="str">
        <f>tienda!B2</f>
        <v>Tienda A</v>
      </c>
      <c r="D3" t="str">
        <f>vendedor!B2</f>
        <v xml:space="preserve">Andres </v>
      </c>
      <c r="E3" s="11">
        <f>venta!G3</f>
        <v>85000</v>
      </c>
      <c r="F3" t="str">
        <f>producto!B3</f>
        <v>Pantalon</v>
      </c>
      <c r="G3">
        <f>producto!D3</f>
        <v>2</v>
      </c>
      <c r="H3">
        <f>vendedor!K2</f>
        <v>1</v>
      </c>
      <c r="I3">
        <f>vendedor!G2</f>
        <v>1038456721</v>
      </c>
    </row>
    <row r="4" spans="1:9">
      <c r="A4">
        <v>3</v>
      </c>
      <c r="B4">
        <f>cliente!A2</f>
        <v>1</v>
      </c>
      <c r="C4" t="str">
        <f>tienda!B2</f>
        <v>Tienda A</v>
      </c>
      <c r="D4" t="str">
        <f>vendedor!B2</f>
        <v xml:space="preserve">Andres </v>
      </c>
      <c r="E4" s="11">
        <f>venta!G4</f>
        <v>72000</v>
      </c>
      <c r="F4" t="str">
        <f>venta!C4</f>
        <v>Falda</v>
      </c>
      <c r="G4">
        <f>producto!D5</f>
        <v>5</v>
      </c>
      <c r="H4">
        <f>vendedor!K2</f>
        <v>1</v>
      </c>
      <c r="I4">
        <f>vendedor!G2</f>
        <v>1038456721</v>
      </c>
    </row>
    <row r="5" spans="1:9">
      <c r="A5">
        <v>4</v>
      </c>
      <c r="B5">
        <f>cliente!A3</f>
        <v>2</v>
      </c>
      <c r="C5" t="str">
        <f>tienda!B3</f>
        <v>Tienda B</v>
      </c>
      <c r="D5" t="str">
        <f>vendedor!B3</f>
        <v xml:space="preserve">Marta </v>
      </c>
      <c r="E5" s="11">
        <f>venta!G5</f>
        <v>96000</v>
      </c>
      <c r="F5" t="str">
        <f>venta!C5</f>
        <v>Falda</v>
      </c>
      <c r="G5">
        <f>producto!D5</f>
        <v>5</v>
      </c>
      <c r="H5">
        <f>vendedor!K3</f>
        <v>3</v>
      </c>
      <c r="I5">
        <f>vendedor!G3</f>
        <v>1019274835</v>
      </c>
    </row>
    <row r="6" spans="1:9">
      <c r="A6">
        <v>5</v>
      </c>
      <c r="B6">
        <f>cliente!A3</f>
        <v>2</v>
      </c>
      <c r="C6" t="str">
        <f>tienda!B3</f>
        <v>Tienda B</v>
      </c>
      <c r="D6" t="str">
        <f>vendedor!B3</f>
        <v xml:space="preserve">Marta </v>
      </c>
      <c r="E6" s="11">
        <f>venta!G6</f>
        <v>45000</v>
      </c>
      <c r="F6" t="str">
        <f>venta!C6</f>
        <v>Blusa</v>
      </c>
      <c r="G6">
        <f>producto!D6</f>
        <v>1</v>
      </c>
      <c r="H6">
        <f>vendedor!K3</f>
        <v>3</v>
      </c>
      <c r="I6">
        <f>vendedor!G3</f>
        <v>1019274835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86B9-C1FB-479E-BCCF-6F4E18617A1E}">
  <dimension ref="A1:I11"/>
  <sheetViews>
    <sheetView zoomScale="70" zoomScaleNormal="70" workbookViewId="0">
      <selection activeCell="C7" sqref="C7"/>
    </sheetView>
  </sheetViews>
  <sheetFormatPr baseColWidth="10" defaultRowHeight="13.8"/>
  <cols>
    <col min="3" max="3" width="12.8984375" customWidth="1"/>
    <col min="4" max="4" width="16.8984375" customWidth="1"/>
    <col min="5" max="5" width="16.69921875" customWidth="1"/>
    <col min="6" max="6" width="14.8984375" customWidth="1"/>
    <col min="7" max="7" width="13.19921875" customWidth="1"/>
  </cols>
  <sheetData>
    <row r="1" spans="1:9" ht="15" thickBot="1">
      <c r="A1" s="4" t="s">
        <v>59</v>
      </c>
      <c r="B1" s="4" t="s">
        <v>60</v>
      </c>
      <c r="C1" s="7" t="s">
        <v>61</v>
      </c>
      <c r="D1" s="6" t="s">
        <v>62</v>
      </c>
      <c r="E1" s="8" t="s">
        <v>63</v>
      </c>
      <c r="F1" s="7" t="s">
        <v>123</v>
      </c>
      <c r="G1" s="6" t="s">
        <v>64</v>
      </c>
      <c r="I1" s="9"/>
    </row>
    <row r="2" spans="1:9" ht="15" thickBot="1">
      <c r="A2">
        <v>1</v>
      </c>
      <c r="B2">
        <f>cliente!A2</f>
        <v>1</v>
      </c>
      <c r="C2" t="str">
        <f>producto!B2</f>
        <v>Camisa</v>
      </c>
      <c r="D2">
        <v>1</v>
      </c>
      <c r="E2" s="11">
        <f>producto!E2</f>
        <v>35000</v>
      </c>
      <c r="F2" s="11">
        <f>producto!F2</f>
        <v>56000</v>
      </c>
      <c r="G2" s="11">
        <v>56000</v>
      </c>
      <c r="I2" s="9"/>
    </row>
    <row r="3" spans="1:9" ht="13.8" customHeight="1" thickBot="1">
      <c r="A3">
        <v>2</v>
      </c>
      <c r="B3">
        <f>cliente!A2</f>
        <v>1</v>
      </c>
      <c r="C3" t="str">
        <f>producto!B4</f>
        <v>Cinturon</v>
      </c>
      <c r="D3">
        <v>1</v>
      </c>
      <c r="E3" s="11">
        <f>producto!E3</f>
        <v>55000</v>
      </c>
      <c r="F3" s="11">
        <f>producto!F3</f>
        <v>85000</v>
      </c>
      <c r="G3" s="10">
        <v>85000</v>
      </c>
      <c r="I3" s="9"/>
    </row>
    <row r="4" spans="1:9" ht="15" thickBot="1">
      <c r="A4">
        <v>3</v>
      </c>
      <c r="B4">
        <f>cliente!A2</f>
        <v>1</v>
      </c>
      <c r="C4" t="str">
        <f>producto!B5</f>
        <v>Falda</v>
      </c>
      <c r="D4">
        <v>2</v>
      </c>
      <c r="E4" s="11">
        <f>producto!E4</f>
        <v>18000</v>
      </c>
      <c r="F4" s="11">
        <f>producto!F4</f>
        <v>36000</v>
      </c>
      <c r="G4" s="10">
        <v>72000</v>
      </c>
      <c r="I4" s="9"/>
    </row>
    <row r="5" spans="1:9" ht="15" thickBot="1">
      <c r="A5">
        <v>4</v>
      </c>
      <c r="B5">
        <f>cliente!A3</f>
        <v>2</v>
      </c>
      <c r="C5" t="str">
        <f>producto!B5</f>
        <v>Falda</v>
      </c>
      <c r="D5">
        <v>2</v>
      </c>
      <c r="E5" s="11">
        <f>producto!E5</f>
        <v>30000</v>
      </c>
      <c r="F5" s="11">
        <f>producto!F5</f>
        <v>48000</v>
      </c>
      <c r="G5" s="10">
        <v>96000</v>
      </c>
      <c r="I5" s="9"/>
    </row>
    <row r="6" spans="1:9" ht="15" thickBot="1">
      <c r="A6">
        <v>5</v>
      </c>
      <c r="B6">
        <f>cliente!A3</f>
        <v>2</v>
      </c>
      <c r="C6" t="str">
        <f>producto!B6</f>
        <v>Blusa</v>
      </c>
      <c r="D6">
        <v>1</v>
      </c>
      <c r="E6" s="11">
        <f>producto!E6</f>
        <v>28000</v>
      </c>
      <c r="F6" s="11">
        <f>producto!F6</f>
        <v>45000</v>
      </c>
      <c r="G6" s="10">
        <v>45000</v>
      </c>
      <c r="I6" s="9"/>
    </row>
    <row r="7" spans="1:9" ht="15" thickBot="1">
      <c r="A7">
        <v>6</v>
      </c>
      <c r="I7" s="9"/>
    </row>
    <row r="8" spans="1:9" ht="15" thickBot="1">
      <c r="A8">
        <v>7</v>
      </c>
      <c r="I8" s="9"/>
    </row>
    <row r="9" spans="1:9">
      <c r="A9">
        <v>8</v>
      </c>
    </row>
    <row r="10" spans="1:9">
      <c r="A10">
        <v>9</v>
      </c>
    </row>
    <row r="11" spans="1:9">
      <c r="A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2E79-6B0D-47B7-829C-1D28F472611D}">
  <dimension ref="A1:G13"/>
  <sheetViews>
    <sheetView zoomScale="70" zoomScaleNormal="70" workbookViewId="0">
      <selection activeCell="D20" sqref="D20"/>
    </sheetView>
  </sheetViews>
  <sheetFormatPr baseColWidth="10" defaultRowHeight="13.8"/>
  <cols>
    <col min="1" max="1" width="14.59765625" customWidth="1"/>
    <col min="2" max="2" width="17.59765625" customWidth="1"/>
    <col min="3" max="3" width="27.09765625" customWidth="1"/>
    <col min="4" max="4" width="21.5" customWidth="1"/>
    <col min="5" max="5" width="14.796875" customWidth="1"/>
    <col min="6" max="6" width="13.796875" customWidth="1"/>
    <col min="7" max="7" width="16.09765625" customWidth="1"/>
  </cols>
  <sheetData>
    <row r="1" spans="1:7">
      <c r="A1" s="4" t="s">
        <v>84</v>
      </c>
      <c r="B1" s="6" t="s">
        <v>85</v>
      </c>
      <c r="C1" s="6" t="s">
        <v>86</v>
      </c>
      <c r="D1" s="7" t="s">
        <v>122</v>
      </c>
      <c r="E1" s="6" t="s">
        <v>87</v>
      </c>
      <c r="F1" s="6" t="s">
        <v>88</v>
      </c>
      <c r="G1" s="6" t="s">
        <v>89</v>
      </c>
    </row>
    <row r="2" spans="1:7" ht="14.4">
      <c r="A2">
        <v>1</v>
      </c>
      <c r="B2" t="s">
        <v>90</v>
      </c>
      <c r="C2" t="s">
        <v>102</v>
      </c>
      <c r="D2">
        <f>categoria!A2</f>
        <v>1</v>
      </c>
      <c r="E2" s="10">
        <v>35000</v>
      </c>
      <c r="F2" s="10">
        <v>56000</v>
      </c>
      <c r="G2">
        <v>45</v>
      </c>
    </row>
    <row r="3" spans="1:7">
      <c r="A3">
        <v>2</v>
      </c>
      <c r="B3" t="s">
        <v>91</v>
      </c>
      <c r="C3" t="s">
        <v>103</v>
      </c>
      <c r="D3">
        <f>categoria!A3</f>
        <v>2</v>
      </c>
      <c r="E3" s="10">
        <v>55000</v>
      </c>
      <c r="F3" s="10">
        <v>85000</v>
      </c>
      <c r="G3">
        <v>38</v>
      </c>
    </row>
    <row r="4" spans="1:7">
      <c r="A4">
        <v>3</v>
      </c>
      <c r="B4" t="s">
        <v>92</v>
      </c>
      <c r="C4" t="s">
        <v>104</v>
      </c>
      <c r="D4">
        <f>categoria!A4</f>
        <v>3</v>
      </c>
      <c r="E4" s="10">
        <v>18000</v>
      </c>
      <c r="F4" s="10">
        <v>36000</v>
      </c>
      <c r="G4">
        <v>60</v>
      </c>
    </row>
    <row r="5" spans="1:7">
      <c r="A5">
        <v>4</v>
      </c>
      <c r="B5" t="s">
        <v>93</v>
      </c>
      <c r="C5" t="s">
        <v>105</v>
      </c>
      <c r="D5">
        <f>categoria!A6</f>
        <v>5</v>
      </c>
      <c r="E5" s="10">
        <v>30000</v>
      </c>
      <c r="F5" s="10">
        <v>48000</v>
      </c>
      <c r="G5">
        <v>32</v>
      </c>
    </row>
    <row r="6" spans="1:7">
      <c r="A6">
        <v>5</v>
      </c>
      <c r="B6" t="s">
        <v>94</v>
      </c>
      <c r="C6" t="s">
        <v>106</v>
      </c>
      <c r="D6">
        <f>categoria!A2</f>
        <v>1</v>
      </c>
      <c r="E6" s="10">
        <v>28000</v>
      </c>
      <c r="F6" s="10">
        <v>45000</v>
      </c>
      <c r="G6">
        <v>40</v>
      </c>
    </row>
    <row r="7" spans="1:7">
      <c r="A7">
        <v>6</v>
      </c>
      <c r="B7" t="s">
        <v>95</v>
      </c>
      <c r="C7" t="s">
        <v>107</v>
      </c>
      <c r="D7">
        <f>categoria!A4</f>
        <v>3</v>
      </c>
      <c r="E7" s="10">
        <v>15000</v>
      </c>
      <c r="F7" s="10">
        <v>29000</v>
      </c>
      <c r="G7">
        <v>55</v>
      </c>
    </row>
    <row r="8" spans="1:7">
      <c r="A8">
        <v>7</v>
      </c>
      <c r="B8" t="s">
        <v>96</v>
      </c>
      <c r="C8" t="s">
        <v>108</v>
      </c>
      <c r="D8">
        <f>categoria!A2</f>
        <v>1</v>
      </c>
      <c r="E8" s="10">
        <v>75000</v>
      </c>
      <c r="F8" s="10">
        <v>120000</v>
      </c>
      <c r="G8">
        <v>22</v>
      </c>
    </row>
    <row r="9" spans="1:7">
      <c r="A9">
        <v>8</v>
      </c>
      <c r="B9" t="s">
        <v>97</v>
      </c>
      <c r="C9" t="s">
        <v>109</v>
      </c>
      <c r="D9">
        <f>categoria!A5</f>
        <v>4</v>
      </c>
      <c r="E9" s="10">
        <v>65000</v>
      </c>
      <c r="F9" s="10">
        <v>98000</v>
      </c>
      <c r="G9">
        <v>25</v>
      </c>
    </row>
    <row r="10" spans="1:7">
      <c r="A10">
        <v>9</v>
      </c>
      <c r="B10" t="s">
        <v>98</v>
      </c>
      <c r="C10" t="s">
        <v>110</v>
      </c>
      <c r="D10">
        <f>categoria!A4</f>
        <v>3</v>
      </c>
      <c r="E10" s="10">
        <v>12000</v>
      </c>
      <c r="F10" s="10">
        <v>23000</v>
      </c>
      <c r="G10">
        <v>48</v>
      </c>
    </row>
    <row r="11" spans="1:7">
      <c r="A11">
        <v>10</v>
      </c>
      <c r="B11" t="s">
        <v>99</v>
      </c>
      <c r="C11" t="s">
        <v>111</v>
      </c>
      <c r="D11">
        <f>categoria!A7</f>
        <v>6</v>
      </c>
      <c r="E11" s="10">
        <v>6000</v>
      </c>
      <c r="F11" s="10">
        <v>12000</v>
      </c>
      <c r="G11">
        <v>100</v>
      </c>
    </row>
    <row r="12" spans="1:7">
      <c r="A12">
        <v>11</v>
      </c>
      <c r="B12" t="s">
        <v>100</v>
      </c>
      <c r="C12" t="s">
        <v>112</v>
      </c>
      <c r="D12">
        <f>categoria!A7</f>
        <v>6</v>
      </c>
      <c r="E12" s="10">
        <v>90000</v>
      </c>
      <c r="F12" s="10">
        <v>145000</v>
      </c>
      <c r="G12">
        <v>20</v>
      </c>
    </row>
    <row r="13" spans="1:7">
      <c r="A13">
        <v>12</v>
      </c>
      <c r="B13" t="s">
        <v>101</v>
      </c>
      <c r="C13" t="s">
        <v>113</v>
      </c>
      <c r="D13">
        <f>categoria!A4</f>
        <v>3</v>
      </c>
      <c r="E13" s="10">
        <v>22000</v>
      </c>
      <c r="F13" s="10">
        <v>38000</v>
      </c>
      <c r="G13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EC59-4C8D-4628-8BFC-852F9A97FD8A}">
  <dimension ref="A1:B7"/>
  <sheetViews>
    <sheetView zoomScale="70" zoomScaleNormal="70" workbookViewId="0">
      <selection activeCell="C9" sqref="C9"/>
    </sheetView>
  </sheetViews>
  <sheetFormatPr baseColWidth="10" defaultRowHeight="13.8"/>
  <cols>
    <col min="2" max="2" width="18.59765625" customWidth="1"/>
  </cols>
  <sheetData>
    <row r="1" spans="1:2">
      <c r="A1" s="4" t="s">
        <v>117</v>
      </c>
      <c r="B1" s="6" t="s">
        <v>118</v>
      </c>
    </row>
    <row r="2" spans="1:2">
      <c r="A2">
        <v>1</v>
      </c>
      <c r="B2" t="s">
        <v>114</v>
      </c>
    </row>
    <row r="3" spans="1:2">
      <c r="A3">
        <v>2</v>
      </c>
      <c r="B3" t="s">
        <v>115</v>
      </c>
    </row>
    <row r="4" spans="1:2">
      <c r="A4">
        <v>3</v>
      </c>
      <c r="B4" t="s">
        <v>116</v>
      </c>
    </row>
    <row r="5" spans="1:2">
      <c r="A5">
        <v>4</v>
      </c>
      <c r="B5" t="s">
        <v>119</v>
      </c>
    </row>
    <row r="6" spans="1:2">
      <c r="A6">
        <v>5</v>
      </c>
      <c r="B6" t="s">
        <v>120</v>
      </c>
    </row>
    <row r="7" spans="1:2">
      <c r="A7">
        <v>6</v>
      </c>
      <c r="B7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B3D8-41A0-491B-93A2-DA6C8AE79609}">
  <dimension ref="A1:B11"/>
  <sheetViews>
    <sheetView zoomScale="70" zoomScaleNormal="70" workbookViewId="0">
      <selection activeCell="D5" sqref="D5"/>
    </sheetView>
  </sheetViews>
  <sheetFormatPr baseColWidth="10" defaultRowHeight="13.8"/>
  <cols>
    <col min="1" max="1" width="16.09765625" customWidth="1"/>
    <col min="2" max="2" width="20" customWidth="1"/>
  </cols>
  <sheetData>
    <row r="1" spans="1:2">
      <c r="A1" s="5" t="s">
        <v>28</v>
      </c>
      <c r="B1" s="6" t="s">
        <v>29</v>
      </c>
    </row>
    <row r="2" spans="1:2">
      <c r="A2">
        <v>1</v>
      </c>
      <c r="B2" t="s">
        <v>16</v>
      </c>
    </row>
    <row r="3" spans="1:2">
      <c r="A3">
        <v>2</v>
      </c>
      <c r="B3" t="s">
        <v>30</v>
      </c>
    </row>
    <row r="4" spans="1:2">
      <c r="A4">
        <v>3</v>
      </c>
      <c r="B4" t="s">
        <v>31</v>
      </c>
    </row>
    <row r="5" spans="1:2">
      <c r="A5">
        <v>4</v>
      </c>
    </row>
    <row r="6" spans="1:2">
      <c r="A6">
        <v>5</v>
      </c>
    </row>
    <row r="7" spans="1:2">
      <c r="A7">
        <v>6</v>
      </c>
    </row>
    <row r="8" spans="1:2">
      <c r="A8">
        <v>7</v>
      </c>
    </row>
    <row r="9" spans="1:2">
      <c r="A9">
        <v>8</v>
      </c>
    </row>
    <row r="10" spans="1:2">
      <c r="A10">
        <v>9</v>
      </c>
    </row>
    <row r="11" spans="1:2">
      <c r="A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7BFA-4441-477D-8606-F520B24DB84F}">
  <dimension ref="A1:B11"/>
  <sheetViews>
    <sheetView zoomScale="70" zoomScaleNormal="70" workbookViewId="0">
      <selection activeCell="B13" sqref="B13"/>
    </sheetView>
  </sheetViews>
  <sheetFormatPr baseColWidth="10" defaultRowHeight="13.8"/>
  <cols>
    <col min="1" max="1" width="24" customWidth="1"/>
    <col min="2" max="2" width="28.09765625" customWidth="1"/>
  </cols>
  <sheetData>
    <row r="1" spans="1:2">
      <c r="A1" s="5" t="s">
        <v>23</v>
      </c>
      <c r="B1" s="6" t="s">
        <v>26</v>
      </c>
    </row>
    <row r="2" spans="1:2">
      <c r="A2">
        <v>1</v>
      </c>
      <c r="B2" t="s">
        <v>13</v>
      </c>
    </row>
    <row r="3" spans="1:2">
      <c r="A3">
        <v>2</v>
      </c>
      <c r="B3" t="s">
        <v>24</v>
      </c>
    </row>
    <row r="4" spans="1:2">
      <c r="A4">
        <v>3</v>
      </c>
      <c r="B4" t="s">
        <v>25</v>
      </c>
    </row>
    <row r="5" spans="1:2">
      <c r="A5">
        <v>4</v>
      </c>
    </row>
    <row r="6" spans="1:2">
      <c r="A6">
        <v>5</v>
      </c>
    </row>
    <row r="7" spans="1:2">
      <c r="A7">
        <v>6</v>
      </c>
    </row>
    <row r="8" spans="1:2">
      <c r="A8">
        <v>7</v>
      </c>
    </row>
    <row r="9" spans="1:2">
      <c r="A9">
        <v>8</v>
      </c>
    </row>
    <row r="10" spans="1:2">
      <c r="A10">
        <v>9</v>
      </c>
    </row>
    <row r="11" spans="1:2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cliente</vt:lpstr>
      <vt:lpstr>tienda</vt:lpstr>
      <vt:lpstr>vendedor</vt:lpstr>
      <vt:lpstr>informe</vt:lpstr>
      <vt:lpstr>venta</vt:lpstr>
      <vt:lpstr>producto</vt:lpstr>
      <vt:lpstr>categoria</vt:lpstr>
      <vt:lpstr>municipio</vt:lpstr>
      <vt:lpstr>tipo_doc_identidad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08_9201107288</dc:creator>
  <cp:lastModifiedBy>PC</cp:lastModifiedBy>
  <dcterms:created xsi:type="dcterms:W3CDTF">2026-06-25T19:32:09Z</dcterms:created>
  <dcterms:modified xsi:type="dcterms:W3CDTF">2026-06-26T02:40:05Z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2026-06-25T22:02:20Z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f2cf3ec8-73c5-4a2c-863e-6a6de1479c0e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