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SENA\JUEVES CLASES\Bases de datos clase\"/>
    </mc:Choice>
  </mc:AlternateContent>
  <xr:revisionPtr revIDLastSave="0" documentId="13_ncr:1_{0C345CCA-9929-41A1-A95A-F1F8D02CE42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aciente" sheetId="1" r:id="rId1"/>
    <sheet name="ciudad" sheetId="3" r:id="rId2"/>
    <sheet name="tipo_documento" sheetId="2" r:id="rId3"/>
    <sheet name="medico" sheetId="4" r:id="rId4"/>
    <sheet name="especializacion" sheetId="8" r:id="rId5"/>
    <sheet name="medicamento" sheetId="5" r:id="rId6"/>
    <sheet name="medicamento_entregado" sheetId="7" r:id="rId7"/>
    <sheet name="enfermedad" sheetId="9" r:id="rId8"/>
    <sheet name="entrega_final" sheetId="10" r:id="rId9"/>
    <sheet name="fecha_entrega" sheetId="12" r:id="rId10"/>
    <sheet name="cantidad_medicamento_entregado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0" l="1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G7" i="4"/>
  <c r="G6" i="4"/>
  <c r="G5" i="4"/>
  <c r="G4" i="4"/>
  <c r="G3" i="4"/>
  <c r="G2" i="4"/>
  <c r="E7" i="4"/>
  <c r="E6" i="4"/>
  <c r="E5" i="4"/>
  <c r="E4" i="4"/>
  <c r="E3" i="4"/>
  <c r="E2" i="4"/>
  <c r="H17" i="10" l="1"/>
  <c r="G17" i="10"/>
  <c r="F17" i="10"/>
  <c r="E17" i="10"/>
  <c r="D17" i="10"/>
  <c r="C17" i="10"/>
  <c r="B17" i="10"/>
  <c r="H16" i="10"/>
  <c r="G16" i="10"/>
  <c r="F16" i="10"/>
  <c r="E16" i="10"/>
  <c r="D16" i="10"/>
  <c r="C16" i="10"/>
  <c r="B16" i="10"/>
  <c r="H15" i="10"/>
  <c r="F15" i="10"/>
  <c r="E15" i="10"/>
  <c r="D15" i="10"/>
  <c r="C15" i="10"/>
  <c r="B15" i="10"/>
  <c r="H14" i="10"/>
  <c r="G14" i="10"/>
  <c r="F14" i="10"/>
  <c r="E14" i="10"/>
  <c r="D14" i="10"/>
  <c r="C14" i="10"/>
  <c r="B14" i="10"/>
  <c r="H13" i="10"/>
  <c r="G13" i="10"/>
  <c r="F13" i="10"/>
  <c r="E13" i="10"/>
  <c r="D13" i="10"/>
  <c r="C13" i="10"/>
  <c r="B13" i="10"/>
  <c r="H12" i="10"/>
  <c r="G12" i="10"/>
  <c r="F12" i="10"/>
  <c r="E12" i="10"/>
  <c r="D12" i="10"/>
  <c r="C12" i="10"/>
  <c r="B12" i="10"/>
  <c r="H11" i="10"/>
  <c r="G11" i="10"/>
  <c r="F11" i="10"/>
  <c r="E11" i="10"/>
  <c r="D11" i="10"/>
  <c r="C11" i="10"/>
  <c r="B11" i="10"/>
  <c r="H10" i="10"/>
  <c r="G10" i="10"/>
  <c r="F10" i="10"/>
  <c r="E10" i="10"/>
  <c r="D10" i="10"/>
  <c r="C10" i="10"/>
  <c r="B10" i="10"/>
  <c r="H9" i="10"/>
  <c r="G9" i="10"/>
  <c r="F9" i="10"/>
  <c r="E9" i="10"/>
  <c r="D9" i="10"/>
  <c r="C9" i="10"/>
  <c r="B9" i="10"/>
  <c r="H8" i="10"/>
  <c r="H7" i="10"/>
  <c r="G8" i="10"/>
  <c r="F8" i="10"/>
  <c r="E8" i="10"/>
  <c r="D8" i="10"/>
  <c r="C8" i="10"/>
  <c r="B8" i="10"/>
  <c r="G7" i="10"/>
  <c r="F7" i="10"/>
  <c r="E7" i="10"/>
  <c r="D7" i="10"/>
  <c r="C7" i="10"/>
  <c r="B7" i="10"/>
  <c r="H6" i="10"/>
  <c r="G6" i="10"/>
  <c r="F6" i="10"/>
  <c r="E6" i="10"/>
  <c r="D6" i="10"/>
  <c r="C6" i="10"/>
  <c r="B6" i="10"/>
  <c r="H5" i="10"/>
  <c r="G5" i="10"/>
  <c r="F5" i="10"/>
  <c r="E5" i="10"/>
  <c r="D5" i="10"/>
  <c r="C5" i="10"/>
  <c r="B5" i="10"/>
  <c r="H4" i="10"/>
  <c r="G4" i="10"/>
  <c r="F4" i="10"/>
  <c r="E4" i="10"/>
  <c r="D4" i="10"/>
  <c r="C4" i="10"/>
  <c r="B4" i="10"/>
  <c r="H3" i="10"/>
  <c r="G3" i="10"/>
  <c r="F3" i="10"/>
  <c r="E3" i="10"/>
  <c r="D3" i="10"/>
  <c r="C3" i="10"/>
  <c r="B3" i="10"/>
  <c r="H2" i="10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2" i="10"/>
  <c r="F2" i="10"/>
  <c r="E2" i="10"/>
  <c r="D2" i="10"/>
  <c r="C2" i="10"/>
  <c r="B2" i="10"/>
  <c r="D17" i="7"/>
  <c r="C17" i="7"/>
  <c r="B17" i="7"/>
  <c r="D16" i="7"/>
  <c r="C16" i="7"/>
  <c r="C7" i="4"/>
  <c r="C6" i="4"/>
  <c r="C5" i="4"/>
  <c r="C4" i="4"/>
  <c r="C3" i="4"/>
  <c r="C2" i="4"/>
  <c r="B16" i="7"/>
  <c r="D15" i="7"/>
  <c r="C15" i="7"/>
  <c r="B15" i="7"/>
  <c r="G15" i="10" s="1"/>
  <c r="D14" i="7"/>
  <c r="C14" i="7"/>
  <c r="B14" i="7"/>
  <c r="D13" i="7"/>
  <c r="C13" i="7"/>
  <c r="B13" i="7"/>
  <c r="D12" i="7"/>
  <c r="C12" i="7"/>
  <c r="B12" i="7"/>
  <c r="B11" i="7"/>
  <c r="B10" i="7"/>
  <c r="B9" i="7"/>
  <c r="B8" i="7"/>
  <c r="B7" i="7"/>
  <c r="B6" i="7"/>
  <c r="B5" i="7"/>
  <c r="B4" i="7"/>
  <c r="B3" i="7"/>
  <c r="B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C3" i="7"/>
  <c r="C2" i="7"/>
  <c r="D3" i="7"/>
  <c r="D2" i="7"/>
  <c r="H10" i="1"/>
  <c r="H9" i="1"/>
  <c r="H8" i="1"/>
  <c r="H7" i="1"/>
  <c r="H6" i="1"/>
  <c r="H5" i="1"/>
  <c r="H4" i="1"/>
  <c r="H3" i="1"/>
  <c r="H2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<sst xmlns="http://schemas.openxmlformats.org/spreadsheetml/2006/main" count="137" uniqueCount="127">
  <si>
    <t>id_paciente(PK)</t>
  </si>
  <si>
    <t>María</t>
  </si>
  <si>
    <t>Díaz</t>
  </si>
  <si>
    <t>Juan</t>
  </si>
  <si>
    <t>Gómez</t>
  </si>
  <si>
    <t>Lucía</t>
  </si>
  <si>
    <t>Torres</t>
  </si>
  <si>
    <t>Carlos</t>
  </si>
  <si>
    <t>Valentina</t>
  </si>
  <si>
    <t>Andrés</t>
  </si>
  <si>
    <t>López</t>
  </si>
  <si>
    <t>Sofía</t>
  </si>
  <si>
    <t>Ruiz</t>
  </si>
  <si>
    <t>nombre_1_paciente(*)</t>
  </si>
  <si>
    <t>nombre_2_paciente</t>
  </si>
  <si>
    <t>apellido_1_paciente(*)</t>
  </si>
  <si>
    <t>apellido_2_paciente</t>
  </si>
  <si>
    <t>tipo</t>
  </si>
  <si>
    <t>CC</t>
  </si>
  <si>
    <t>TI</t>
  </si>
  <si>
    <t>id_tipo_documento(PK)</t>
  </si>
  <si>
    <t>PPT</t>
  </si>
  <si>
    <t>RS</t>
  </si>
  <si>
    <t>tipo_documento_paciente(FK)1:1</t>
  </si>
  <si>
    <t>direccion_paciente</t>
  </si>
  <si>
    <t>ciudad_paciente(FK)1:1</t>
  </si>
  <si>
    <t>Calle 10 #5-21</t>
  </si>
  <si>
    <t xml:space="preserve">Cra 8 #14-12 </t>
  </si>
  <si>
    <t xml:space="preserve">Calle 27 # 6-30 </t>
  </si>
  <si>
    <t xml:space="preserve">Calle 25 # 4-17 </t>
  </si>
  <si>
    <t xml:space="preserve">Calle 5 # 11-45 </t>
  </si>
  <si>
    <t xml:space="preserve">Calle 22 # 7-49 </t>
  </si>
  <si>
    <t xml:space="preserve">Calle 12 # 20-2 </t>
  </si>
  <si>
    <t xml:space="preserve">Calle 29 # 4-4 </t>
  </si>
  <si>
    <t xml:space="preserve">Calle 33 # 20-8 </t>
  </si>
  <si>
    <t>id_ciudad</t>
  </si>
  <si>
    <t>ciudad_paciente_ciudad(*)</t>
  </si>
  <si>
    <t>Cali</t>
  </si>
  <si>
    <t>Bogota</t>
  </si>
  <si>
    <t>Medellin</t>
  </si>
  <si>
    <t>Barranquilla</t>
  </si>
  <si>
    <t>Bucaramanga</t>
  </si>
  <si>
    <t>telefono_paciente</t>
  </si>
  <si>
    <t>id_medico(PK)</t>
  </si>
  <si>
    <t>nombre_medico(*)</t>
  </si>
  <si>
    <t>Dr. López</t>
  </si>
  <si>
    <t>Dra. Ruiz</t>
  </si>
  <si>
    <t>Dr. Herrera</t>
  </si>
  <si>
    <t>Dr. Martínez</t>
  </si>
  <si>
    <t>Medicina General</t>
  </si>
  <si>
    <t>Dr.Velez</t>
  </si>
  <si>
    <t>id_medicamento(PK)</t>
  </si>
  <si>
    <t>nombre_medicamento(*)</t>
  </si>
  <si>
    <t>Jarabe para la tos</t>
  </si>
  <si>
    <t>Atenolol</t>
  </si>
  <si>
    <t>Crema Antifúngica</t>
  </si>
  <si>
    <t>Ibuprofeno</t>
  </si>
  <si>
    <t>Amoxicilina</t>
  </si>
  <si>
    <t>Omeprazol</t>
  </si>
  <si>
    <t>Presentación_medicamento(*)</t>
  </si>
  <si>
    <t>Jarabe (120 mL)</t>
  </si>
  <si>
    <t>Tabletas 50 mg</t>
  </si>
  <si>
    <t>Crema tópica 30 g</t>
  </si>
  <si>
    <t>Tabletas 400 mg</t>
  </si>
  <si>
    <t>Cápsulas 500 mg</t>
  </si>
  <si>
    <t>Cápsulas 20 mg</t>
  </si>
  <si>
    <t>id_medicamento_entregado(PK)</t>
  </si>
  <si>
    <t>paciente_medicamento_entregado(PK)</t>
  </si>
  <si>
    <t>cantidad_medicamento_entregado(*)</t>
  </si>
  <si>
    <t>medicamento_medicamento_entregado(FK)(1:N)</t>
  </si>
  <si>
    <t>medico_medicamento_entregado(PK)</t>
  </si>
  <si>
    <t>Suero Oral</t>
  </si>
  <si>
    <t>Jarabe (200 mL)</t>
  </si>
  <si>
    <t>Dr. Castaño</t>
  </si>
  <si>
    <t>id_especializacion</t>
  </si>
  <si>
    <t>nombre_especializacion(*)</t>
  </si>
  <si>
    <t>Pediatria</t>
  </si>
  <si>
    <t>Cardiologia</t>
  </si>
  <si>
    <t>Dermatologia</t>
  </si>
  <si>
    <t>Neurologia</t>
  </si>
  <si>
    <t>especialidad_medico(FK)1:1</t>
  </si>
  <si>
    <t>nombre_enfermedad(*)</t>
  </si>
  <si>
    <t>Gripe</t>
  </si>
  <si>
    <t>Presión Alta</t>
  </si>
  <si>
    <t>Indigestión</t>
  </si>
  <si>
    <t>Asma</t>
  </si>
  <si>
    <t>Migraña</t>
  </si>
  <si>
    <t>Alergia</t>
  </si>
  <si>
    <t>id_entrega_final(PK)</t>
  </si>
  <si>
    <t>id_enfermedad(PK)</t>
  </si>
  <si>
    <t>paciente_entrega_final(PK)</t>
  </si>
  <si>
    <t>ciudad_entrega_final(FK)1:1</t>
  </si>
  <si>
    <t>tipo_documento_entrega_final(FK)1:1</t>
  </si>
  <si>
    <t>medico_entrega_final(PK)</t>
  </si>
  <si>
    <t>especializacion_entrega_final(FK)1:N</t>
  </si>
  <si>
    <t>medicamento_entrega_final(FK)1:N</t>
  </si>
  <si>
    <t>enfermedad_entrega_final(FK)1:N</t>
  </si>
  <si>
    <t>enfermedad_medicamento_entregado(FK):1N</t>
  </si>
  <si>
    <t>Maria</t>
  </si>
  <si>
    <t>Andres</t>
  </si>
  <si>
    <t>Valery</t>
  </si>
  <si>
    <t>Vanesa</t>
  </si>
  <si>
    <t>Felipe</t>
  </si>
  <si>
    <t>Andrea</t>
  </si>
  <si>
    <t>Smith</t>
  </si>
  <si>
    <t>Restrepo</t>
  </si>
  <si>
    <t>Quiñones</t>
  </si>
  <si>
    <t>Lopez</t>
  </si>
  <si>
    <t>Lopera</t>
  </si>
  <si>
    <t>Galvez</t>
  </si>
  <si>
    <t>Diaz</t>
  </si>
  <si>
    <t>restan</t>
  </si>
  <si>
    <t>Calderon</t>
  </si>
  <si>
    <t>Zapata</t>
  </si>
  <si>
    <t>numero_medico(*)</t>
  </si>
  <si>
    <t>tipo_documento_medico(FK)1:1</t>
  </si>
  <si>
    <t>direccion_medico(*)</t>
  </si>
  <si>
    <t>Calle 98 # 45-17</t>
  </si>
  <si>
    <t>Carrera 27 # 18-56</t>
  </si>
  <si>
    <t>Transversal 12 # 67-89</t>
  </si>
  <si>
    <t>Diagonal 54 # 23-41</t>
  </si>
  <si>
    <t>Avenida 33 # 78-15</t>
  </si>
  <si>
    <t>Calle 16 # 92-38</t>
  </si>
  <si>
    <t>ciudad_medico(FK)1:1</t>
  </si>
  <si>
    <t>fecha_entrega_final(*)</t>
  </si>
  <si>
    <t>id_fecha_entrega(PK)</t>
  </si>
  <si>
    <t>fecha_de_entrega(*)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</si>
</sst>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3" borderId="0" xfId="0" applyFill="1"/>
    <xf numFmtId="0" fontId="0" fillId="3" borderId="0" xfId="0" applyFill="1" applyBorder="1" applyAlignment="1">
      <alignment wrapText="1"/>
    </xf>
    <xf numFmtId="0" fontId="1" fillId="0" borderId="0" xfId="0" applyFont="1"/>
    <xf numFmtId="0" fontId="0" fillId="4" borderId="0" xfId="0" applyFill="1"/>
    <xf numFmtId="0" fontId="0" fillId="0" borderId="0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1" fillId="4" borderId="0" xfId="0" applyFont="1" applyFill="1"/>
    <xf numFmtId="0" fontId="1" fillId="3" borderId="0" xfId="0" applyFont="1" applyFill="1"/>
    <xf numFmtId="0" fontId="1" fillId="2" borderId="0" xfId="0" applyFont="1" applyFill="1"/>
    <xf numFmtId="14" fontId="0" fillId="0" borderId="1" xfId="0" applyNumberForma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topLeftCell="B1" zoomScale="80" zoomScaleNormal="80" workbookViewId="0">
      <selection activeCell="I9" sqref="I9"/>
    </sheetView>
  </sheetViews>
  <sheetFormatPr baseColWidth="10" defaultColWidth="8.88671875" defaultRowHeight="14.4" x14ac:dyDescent="0.3"/>
  <cols>
    <col min="1" max="1" width="14.6640625" customWidth="1"/>
    <col min="2" max="2" width="21.5546875" customWidth="1"/>
    <col min="3" max="3" width="20.33203125" customWidth="1"/>
    <col min="4" max="4" width="21.5546875" customWidth="1"/>
    <col min="5" max="5" width="18.88671875" customWidth="1"/>
    <col min="6" max="6" width="30.21875" customWidth="1"/>
    <col min="7" max="7" width="24.5546875" customWidth="1"/>
    <col min="8" max="8" width="21.33203125" customWidth="1"/>
    <col min="9" max="9" width="17.109375" customWidth="1"/>
  </cols>
  <sheetData>
    <row r="1" spans="1:9" ht="17.399999999999999" customHeight="1" thickBot="1" x14ac:dyDescent="0.35">
      <c r="A1" s="1" t="s">
        <v>0</v>
      </c>
      <c r="B1" s="4" t="s">
        <v>13</v>
      </c>
      <c r="C1" s="4" t="s">
        <v>14</v>
      </c>
      <c r="D1" s="5" t="s">
        <v>15</v>
      </c>
      <c r="E1" s="4" t="s">
        <v>16</v>
      </c>
      <c r="F1" s="7" t="s">
        <v>23</v>
      </c>
      <c r="G1" s="4" t="s">
        <v>24</v>
      </c>
      <c r="H1" s="7" t="s">
        <v>25</v>
      </c>
      <c r="I1" s="4" t="s">
        <v>42</v>
      </c>
    </row>
    <row r="2" spans="1:9" ht="16.2" customHeight="1" thickBot="1" x14ac:dyDescent="0.35">
      <c r="A2">
        <v>1</v>
      </c>
      <c r="B2" s="2" t="s">
        <v>1</v>
      </c>
      <c r="C2" t="s">
        <v>98</v>
      </c>
      <c r="D2" s="3" t="s">
        <v>2</v>
      </c>
      <c r="E2" t="s">
        <v>105</v>
      </c>
      <c r="F2">
        <f>tipo_documento!A2</f>
        <v>1</v>
      </c>
      <c r="G2" s="2" t="s">
        <v>26</v>
      </c>
      <c r="H2">
        <f>ciudad!A2</f>
        <v>1</v>
      </c>
      <c r="I2" s="2">
        <v>3207894561</v>
      </c>
    </row>
    <row r="3" spans="1:9" ht="15.6" customHeight="1" thickBot="1" x14ac:dyDescent="0.35">
      <c r="A3">
        <v>2</v>
      </c>
      <c r="B3" s="2" t="s">
        <v>3</v>
      </c>
      <c r="C3" t="s">
        <v>99</v>
      </c>
      <c r="D3" s="3" t="s">
        <v>4</v>
      </c>
      <c r="E3" t="s">
        <v>106</v>
      </c>
      <c r="F3">
        <f>tipo_documento!A3</f>
        <v>2</v>
      </c>
      <c r="G3" s="2" t="s">
        <v>27</v>
      </c>
      <c r="H3">
        <f>ciudad!A3</f>
        <v>2</v>
      </c>
      <c r="I3" s="2">
        <v>3114569874</v>
      </c>
    </row>
    <row r="4" spans="1:9" ht="15" thickBot="1" x14ac:dyDescent="0.35">
      <c r="A4">
        <v>3</v>
      </c>
      <c r="B4" s="2" t="s">
        <v>5</v>
      </c>
      <c r="C4" t="s">
        <v>98</v>
      </c>
      <c r="D4" s="3" t="s">
        <v>6</v>
      </c>
      <c r="E4" t="s">
        <v>107</v>
      </c>
      <c r="F4">
        <f>tipo_documento!A4</f>
        <v>3</v>
      </c>
      <c r="G4" s="2" t="s">
        <v>28</v>
      </c>
      <c r="H4">
        <f>ciudad!A2</f>
        <v>1</v>
      </c>
      <c r="I4" s="2">
        <v>3926529108</v>
      </c>
    </row>
    <row r="5" spans="1:9" ht="13.2" customHeight="1" thickBot="1" x14ac:dyDescent="0.35">
      <c r="A5">
        <v>4</v>
      </c>
      <c r="B5" s="2" t="s">
        <v>7</v>
      </c>
      <c r="C5" t="s">
        <v>99</v>
      </c>
      <c r="D5" s="3" t="s">
        <v>4</v>
      </c>
      <c r="E5" t="s">
        <v>108</v>
      </c>
      <c r="F5">
        <f>tipo_documento!A5</f>
        <v>4</v>
      </c>
      <c r="G5" s="2" t="s">
        <v>29</v>
      </c>
      <c r="H5">
        <f>ciudad!A3</f>
        <v>2</v>
      </c>
      <c r="I5" s="2">
        <v>3444015886</v>
      </c>
    </row>
    <row r="6" spans="1:9" ht="15" thickBot="1" x14ac:dyDescent="0.35">
      <c r="A6">
        <v>5</v>
      </c>
      <c r="B6" s="2" t="s">
        <v>8</v>
      </c>
      <c r="C6" t="s">
        <v>100</v>
      </c>
      <c r="D6" s="3" t="s">
        <v>6</v>
      </c>
      <c r="E6" t="s">
        <v>109</v>
      </c>
      <c r="F6">
        <f>tipo_documento!A2</f>
        <v>1</v>
      </c>
      <c r="G6" s="2" t="s">
        <v>30</v>
      </c>
      <c r="H6">
        <f>ciudad!A2</f>
        <v>1</v>
      </c>
      <c r="I6" s="2">
        <v>3875058434</v>
      </c>
    </row>
    <row r="7" spans="1:9" ht="15.6" customHeight="1" thickBot="1" x14ac:dyDescent="0.35">
      <c r="A7">
        <v>6</v>
      </c>
      <c r="B7" s="2" t="s">
        <v>8</v>
      </c>
      <c r="C7" t="s">
        <v>101</v>
      </c>
      <c r="D7" s="3" t="s">
        <v>2</v>
      </c>
      <c r="E7" t="s">
        <v>110</v>
      </c>
      <c r="F7">
        <f>tipo_documento!A3</f>
        <v>2</v>
      </c>
      <c r="G7" s="2" t="s">
        <v>31</v>
      </c>
      <c r="H7">
        <f>ciudad!A4</f>
        <v>3</v>
      </c>
      <c r="I7" s="2">
        <v>3022606286</v>
      </c>
    </row>
    <row r="8" spans="1:9" ht="13.8" customHeight="1" thickBot="1" x14ac:dyDescent="0.35">
      <c r="A8">
        <v>7</v>
      </c>
      <c r="B8" s="2" t="s">
        <v>9</v>
      </c>
      <c r="C8" t="s">
        <v>102</v>
      </c>
      <c r="D8" s="3" t="s">
        <v>10</v>
      </c>
      <c r="E8" t="s">
        <v>111</v>
      </c>
      <c r="F8">
        <f>tipo_documento!A2</f>
        <v>1</v>
      </c>
      <c r="G8" s="2" t="s">
        <v>32</v>
      </c>
      <c r="H8">
        <f>ciudad!A5</f>
        <v>4</v>
      </c>
      <c r="I8" s="2">
        <v>3578044557</v>
      </c>
    </row>
    <row r="9" spans="1:9" ht="14.4" customHeight="1" thickBot="1" x14ac:dyDescent="0.35">
      <c r="A9">
        <v>8</v>
      </c>
      <c r="B9" s="2" t="s">
        <v>11</v>
      </c>
      <c r="C9" t="s">
        <v>103</v>
      </c>
      <c r="D9" s="3" t="s">
        <v>12</v>
      </c>
      <c r="E9" t="s">
        <v>112</v>
      </c>
      <c r="F9">
        <f>tipo_documento!A4</f>
        <v>3</v>
      </c>
      <c r="G9" s="2" t="s">
        <v>34</v>
      </c>
      <c r="H9">
        <f>ciudad!A5</f>
        <v>4</v>
      </c>
      <c r="I9" s="2">
        <v>3219822942</v>
      </c>
    </row>
    <row r="10" spans="1:9" ht="15.6" customHeight="1" thickBot="1" x14ac:dyDescent="0.35">
      <c r="A10">
        <v>9</v>
      </c>
      <c r="B10" s="2" t="s">
        <v>5</v>
      </c>
      <c r="C10" t="s">
        <v>104</v>
      </c>
      <c r="D10" s="3" t="s">
        <v>10</v>
      </c>
      <c r="E10" t="s">
        <v>113</v>
      </c>
      <c r="F10">
        <f>tipo_documento!A5</f>
        <v>4</v>
      </c>
      <c r="G10" s="2" t="s">
        <v>33</v>
      </c>
      <c r="H10">
        <f>ciudad!A6</f>
        <v>5</v>
      </c>
      <c r="I10" s="2">
        <v>3167069159</v>
      </c>
    </row>
    <row r="112" spans="4:4" x14ac:dyDescent="0.3">
      <c r="D1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D2CD-E274-431A-9A67-6CD8D5CC8EDF}">
  <dimension ref="A1:B6"/>
  <sheetViews>
    <sheetView workbookViewId="0">
      <selection activeCell="B9" sqref="B9"/>
    </sheetView>
  </sheetViews>
  <sheetFormatPr baseColWidth="10" defaultRowHeight="14.4" x14ac:dyDescent="0.3"/>
  <cols>
    <col min="2" max="2" width="22.88671875" customWidth="1"/>
  </cols>
  <sheetData>
    <row r="1" spans="1:2" x14ac:dyDescent="0.3">
      <c r="A1" s="1" t="s">
        <v>35</v>
      </c>
      <c r="B1" s="4" t="s">
        <v>36</v>
      </c>
    </row>
    <row r="2" spans="1:2" x14ac:dyDescent="0.3">
      <c r="A2">
        <v>1</v>
      </c>
      <c r="B2" t="s">
        <v>37</v>
      </c>
    </row>
    <row r="3" spans="1:2" x14ac:dyDescent="0.3">
      <c r="A3">
        <v>2</v>
      </c>
      <c r="B3" t="s">
        <v>38</v>
      </c>
    </row>
    <row r="4" spans="1:2" x14ac:dyDescent="0.3">
      <c r="A4">
        <v>3</v>
      </c>
      <c r="B4" t="s">
        <v>39</v>
      </c>
    </row>
    <row r="5" spans="1:2" x14ac:dyDescent="0.3">
      <c r="A5">
        <v>4</v>
      </c>
      <c r="B5" t="s">
        <v>40</v>
      </c>
    </row>
    <row r="6" spans="1:2" x14ac:dyDescent="0.3">
      <c r="A6">
        <v>5</v>
      </c>
      <c r="B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E5E9-9442-4C5E-8C91-74E0E0541DC1}">
  <dimension ref="A1:C5"/>
  <sheetViews>
    <sheetView workbookViewId="0">
      <selection activeCell="C2" sqref="C2"/>
    </sheetView>
  </sheetViews>
  <sheetFormatPr baseColWidth="10" defaultRowHeight="14.4" x14ac:dyDescent="0.3"/>
  <cols>
    <col min="1" max="1" width="20.44140625" customWidth="1"/>
  </cols>
  <sheetData>
    <row r="1" spans="1:3" x14ac:dyDescent="0.3">
      <c r="A1" s="1" t="s">
        <v>20</v>
      </c>
      <c r="B1" s="4" t="s">
        <v>17</v>
      </c>
    </row>
    <row r="2" spans="1:3" x14ac:dyDescent="0.3">
      <c r="A2">
        <v>1</v>
      </c>
      <c r="B2" t="s">
        <v>18</v>
      </c>
    </row>
    <row r="3" spans="1:3" x14ac:dyDescent="0.3">
      <c r="A3">
        <v>2</v>
      </c>
      <c r="B3" t="s">
        <v>19</v>
      </c>
    </row>
    <row r="4" spans="1:3" x14ac:dyDescent="0.3">
      <c r="A4">
        <v>3</v>
      </c>
      <c r="B4" t="s">
        <v>21</v>
      </c>
    </row>
    <row r="5" spans="1:3" x14ac:dyDescent="0.3">
      <c r="A5">
        <v>4</v>
      </c>
      <c r="B5" t="s">
        <v>22</v>
      </c>
      <c r="C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B70A-3097-40C4-B4D5-248D3DD07D4B}">
  <dimension ref="A1:G7"/>
  <sheetViews>
    <sheetView workbookViewId="0">
      <selection activeCell="G8" sqref="G8"/>
    </sheetView>
  </sheetViews>
  <sheetFormatPr baseColWidth="10" defaultRowHeight="14.4" x14ac:dyDescent="0.3"/>
  <cols>
    <col min="1" max="1" width="12.6640625" customWidth="1"/>
    <col min="2" max="2" width="16.33203125" customWidth="1"/>
    <col min="3" max="3" width="23.88671875" customWidth="1"/>
    <col min="4" max="4" width="17.44140625" customWidth="1"/>
    <col min="5" max="5" width="27.5546875" customWidth="1"/>
    <col min="6" max="6" width="18.6640625" customWidth="1"/>
    <col min="7" max="7" width="19.109375" customWidth="1"/>
  </cols>
  <sheetData>
    <row r="1" spans="1:7" ht="15" thickBot="1" x14ac:dyDescent="0.35">
      <c r="A1" s="1" t="s">
        <v>43</v>
      </c>
      <c r="B1" s="4" t="s">
        <v>44</v>
      </c>
      <c r="C1" s="7" t="s">
        <v>80</v>
      </c>
      <c r="D1" s="4" t="s">
        <v>114</v>
      </c>
      <c r="E1" s="7" t="s">
        <v>115</v>
      </c>
      <c r="F1" s="11" t="s">
        <v>116</v>
      </c>
      <c r="G1" s="10" t="s">
        <v>123</v>
      </c>
    </row>
    <row r="2" spans="1:7" ht="15" thickBot="1" x14ac:dyDescent="0.35">
      <c r="A2">
        <v>1</v>
      </c>
      <c r="B2" s="2" t="s">
        <v>45</v>
      </c>
      <c r="C2" s="2">
        <f>especializacion!A2</f>
        <v>1</v>
      </c>
      <c r="D2">
        <v>3104587291</v>
      </c>
      <c r="E2">
        <f>tipo_documento!A2</f>
        <v>1</v>
      </c>
      <c r="F2" t="s">
        <v>117</v>
      </c>
      <c r="G2">
        <f>ciudad!A2</f>
        <v>1</v>
      </c>
    </row>
    <row r="3" spans="1:7" ht="15" thickBot="1" x14ac:dyDescent="0.35">
      <c r="A3">
        <v>2</v>
      </c>
      <c r="B3" s="2" t="s">
        <v>46</v>
      </c>
      <c r="C3" s="2">
        <f>especializacion!A3</f>
        <v>2</v>
      </c>
      <c r="D3">
        <v>3116728459</v>
      </c>
      <c r="E3">
        <f>tipo_documento!A4</f>
        <v>3</v>
      </c>
      <c r="F3" t="s">
        <v>119</v>
      </c>
      <c r="G3">
        <f>ciudad!A3</f>
        <v>2</v>
      </c>
    </row>
    <row r="4" spans="1:7" ht="15" thickBot="1" x14ac:dyDescent="0.35">
      <c r="A4">
        <v>3</v>
      </c>
      <c r="B4" s="2" t="s">
        <v>47</v>
      </c>
      <c r="C4" s="2">
        <f>especializacion!A4</f>
        <v>3</v>
      </c>
      <c r="D4">
        <v>3129851476</v>
      </c>
      <c r="E4">
        <f>tipo_documento!A2</f>
        <v>1</v>
      </c>
      <c r="F4" t="s">
        <v>118</v>
      </c>
      <c r="G4">
        <f>ciudad!A2</f>
        <v>1</v>
      </c>
    </row>
    <row r="5" spans="1:7" ht="15" thickBot="1" x14ac:dyDescent="0.35">
      <c r="A5">
        <v>4</v>
      </c>
      <c r="B5" s="2" t="s">
        <v>48</v>
      </c>
      <c r="C5" s="2">
        <f>especializacion!A5</f>
        <v>4</v>
      </c>
      <c r="D5">
        <v>3137462580</v>
      </c>
      <c r="E5">
        <f>tipo_documento!A2</f>
        <v>1</v>
      </c>
      <c r="F5" t="s">
        <v>120</v>
      </c>
      <c r="G5">
        <f>ciudad!A6</f>
        <v>5</v>
      </c>
    </row>
    <row r="6" spans="1:7" ht="15" thickBot="1" x14ac:dyDescent="0.35">
      <c r="A6">
        <v>5</v>
      </c>
      <c r="B6" s="8" t="s">
        <v>50</v>
      </c>
      <c r="C6" s="2">
        <f>especializacion!A6</f>
        <v>5</v>
      </c>
      <c r="D6">
        <v>3148596327</v>
      </c>
      <c r="E6">
        <f>tipo_documento!A2</f>
        <v>1</v>
      </c>
      <c r="F6" t="s">
        <v>121</v>
      </c>
      <c r="G6">
        <f>ciudad!A5</f>
        <v>4</v>
      </c>
    </row>
    <row r="7" spans="1:7" x14ac:dyDescent="0.3">
      <c r="A7">
        <v>6</v>
      </c>
      <c r="B7" s="8" t="s">
        <v>73</v>
      </c>
      <c r="C7" s="9">
        <f>especializacion!A4</f>
        <v>3</v>
      </c>
      <c r="D7">
        <v>3152749186</v>
      </c>
      <c r="E7">
        <f>tipo_documento!A2</f>
        <v>1</v>
      </c>
      <c r="F7" t="s">
        <v>122</v>
      </c>
      <c r="G7">
        <f>A3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1A22-4C06-42A7-8E6E-CB409AE53135}">
  <dimension ref="A1:B6"/>
  <sheetViews>
    <sheetView workbookViewId="0">
      <selection activeCell="B5" sqref="B5"/>
    </sheetView>
  </sheetViews>
  <sheetFormatPr baseColWidth="10" defaultRowHeight="14.4" x14ac:dyDescent="0.3"/>
  <cols>
    <col min="1" max="1" width="15.33203125" customWidth="1"/>
    <col min="2" max="2" width="23.21875" customWidth="1"/>
  </cols>
  <sheetData>
    <row r="1" spans="1:2" x14ac:dyDescent="0.3">
      <c r="A1" s="1" t="s">
        <v>74</v>
      </c>
      <c r="B1" s="4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49</v>
      </c>
    </row>
    <row r="6" spans="1:2" x14ac:dyDescent="0.3">
      <c r="A6">
        <v>5</v>
      </c>
      <c r="B6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A74D-36DC-4950-A9C5-B314B574C871}">
  <dimension ref="A1:C8"/>
  <sheetViews>
    <sheetView workbookViewId="0">
      <selection activeCell="B8" sqref="B8"/>
    </sheetView>
  </sheetViews>
  <sheetFormatPr baseColWidth="10" defaultRowHeight="14.4" x14ac:dyDescent="0.3"/>
  <cols>
    <col min="1" max="1" width="17.44140625" customWidth="1"/>
    <col min="2" max="2" width="21.77734375" customWidth="1"/>
    <col min="3" max="3" width="26.77734375" customWidth="1"/>
  </cols>
  <sheetData>
    <row r="1" spans="1:3" x14ac:dyDescent="0.3">
      <c r="A1" s="1" t="s">
        <v>51</v>
      </c>
      <c r="B1" s="4" t="s">
        <v>52</v>
      </c>
      <c r="C1" s="4" t="s">
        <v>59</v>
      </c>
    </row>
    <row r="2" spans="1:3" x14ac:dyDescent="0.3">
      <c r="A2">
        <v>1</v>
      </c>
      <c r="B2" t="s">
        <v>53</v>
      </c>
      <c r="C2" t="s">
        <v>60</v>
      </c>
    </row>
    <row r="3" spans="1:3" x14ac:dyDescent="0.3">
      <c r="A3">
        <v>2</v>
      </c>
      <c r="B3" t="s">
        <v>54</v>
      </c>
      <c r="C3" t="s">
        <v>61</v>
      </c>
    </row>
    <row r="4" spans="1:3" x14ac:dyDescent="0.3">
      <c r="A4">
        <v>3</v>
      </c>
      <c r="B4" t="s">
        <v>55</v>
      </c>
      <c r="C4" t="s">
        <v>62</v>
      </c>
    </row>
    <row r="5" spans="1:3" x14ac:dyDescent="0.3">
      <c r="A5">
        <v>4</v>
      </c>
      <c r="B5" t="s">
        <v>56</v>
      </c>
      <c r="C5" t="s">
        <v>63</v>
      </c>
    </row>
    <row r="6" spans="1:3" x14ac:dyDescent="0.3">
      <c r="A6">
        <v>5</v>
      </c>
      <c r="B6" t="s">
        <v>57</v>
      </c>
      <c r="C6" t="s">
        <v>64</v>
      </c>
    </row>
    <row r="7" spans="1:3" x14ac:dyDescent="0.3">
      <c r="A7">
        <v>6</v>
      </c>
      <c r="B7" t="s">
        <v>58</v>
      </c>
      <c r="C7" t="s">
        <v>65</v>
      </c>
    </row>
    <row r="8" spans="1:3" x14ac:dyDescent="0.3">
      <c r="A8">
        <v>7</v>
      </c>
      <c r="B8" t="s">
        <v>71</v>
      </c>
      <c r="C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17CA-2093-48E9-BEC7-985354A94D38}">
  <dimension ref="A1:F17"/>
  <sheetViews>
    <sheetView topLeftCell="C1" zoomScale="80" zoomScaleNormal="80" workbookViewId="0">
      <selection activeCell="F15" sqref="F15"/>
    </sheetView>
  </sheetViews>
  <sheetFormatPr baseColWidth="10" defaultRowHeight="14.4" x14ac:dyDescent="0.3"/>
  <cols>
    <col min="1" max="1" width="30.21875" customWidth="1"/>
    <col min="2" max="2" width="43.77734375" customWidth="1"/>
    <col min="3" max="3" width="38.5546875" customWidth="1"/>
    <col min="4" max="4" width="35" customWidth="1"/>
    <col min="5" max="5" width="34.109375" customWidth="1"/>
    <col min="6" max="6" width="40.44140625" customWidth="1"/>
  </cols>
  <sheetData>
    <row r="1" spans="1:6" x14ac:dyDescent="0.3">
      <c r="A1" s="1" t="s">
        <v>66</v>
      </c>
      <c r="B1" s="7" t="s">
        <v>69</v>
      </c>
      <c r="C1" s="1" t="s">
        <v>70</v>
      </c>
      <c r="D1" s="1" t="s">
        <v>67</v>
      </c>
      <c r="E1" s="4" t="s">
        <v>68</v>
      </c>
      <c r="F1" s="7" t="s">
        <v>97</v>
      </c>
    </row>
    <row r="2" spans="1:6" x14ac:dyDescent="0.3">
      <c r="A2">
        <v>1</v>
      </c>
      <c r="B2">
        <f>medicamento!A3</f>
        <v>2</v>
      </c>
      <c r="C2">
        <f>medico!A2</f>
        <v>1</v>
      </c>
      <c r="D2">
        <f>paciente!A2</f>
        <v>1</v>
      </c>
      <c r="E2">
        <f>cantidad_medicamento_entregado!A2</f>
        <v>1</v>
      </c>
      <c r="F2">
        <f>enfermedad!A2</f>
        <v>1</v>
      </c>
    </row>
    <row r="3" spans="1:6" x14ac:dyDescent="0.3">
      <c r="A3">
        <v>2</v>
      </c>
      <c r="B3">
        <f>medicamento!A5</f>
        <v>4</v>
      </c>
      <c r="C3">
        <f>medico!A2</f>
        <v>1</v>
      </c>
      <c r="D3">
        <f>paciente!A2</f>
        <v>1</v>
      </c>
      <c r="E3">
        <f>cantidad_medicamento_entregado!A3</f>
        <v>2</v>
      </c>
      <c r="F3">
        <f>enfermedad!A2</f>
        <v>1</v>
      </c>
    </row>
    <row r="4" spans="1:6" x14ac:dyDescent="0.3">
      <c r="A4">
        <v>3</v>
      </c>
      <c r="B4">
        <f>medicamento!A3</f>
        <v>2</v>
      </c>
      <c r="C4">
        <f>medico!A3</f>
        <v>2</v>
      </c>
      <c r="D4">
        <f>paciente!A3</f>
        <v>2</v>
      </c>
      <c r="E4">
        <f>cantidad_medicamento_entregado!A2</f>
        <v>1</v>
      </c>
      <c r="F4">
        <f>enfermedad!A3</f>
        <v>2</v>
      </c>
    </row>
    <row r="5" spans="1:6" x14ac:dyDescent="0.3">
      <c r="A5">
        <v>4</v>
      </c>
      <c r="B5">
        <f>medicamento!A4</f>
        <v>3</v>
      </c>
      <c r="C5">
        <f>medico!A2</f>
        <v>1</v>
      </c>
      <c r="D5">
        <f>paciente!A4</f>
        <v>3</v>
      </c>
      <c r="E5">
        <f>cantidad_medicamento_entregado!A3</f>
        <v>2</v>
      </c>
      <c r="F5">
        <f>enfermedad!A4</f>
        <v>3</v>
      </c>
    </row>
    <row r="6" spans="1:6" x14ac:dyDescent="0.3">
      <c r="A6">
        <v>5</v>
      </c>
      <c r="B6">
        <f>medicamento!A5</f>
        <v>4</v>
      </c>
      <c r="C6">
        <f>medico!A4</f>
        <v>3</v>
      </c>
      <c r="D6">
        <f>paciente!A5</f>
        <v>4</v>
      </c>
      <c r="E6">
        <f>cantidad_medicamento_entregado!A4</f>
        <v>3</v>
      </c>
      <c r="F6">
        <f>enfermedad!A5</f>
        <v>4</v>
      </c>
    </row>
    <row r="7" spans="1:6" x14ac:dyDescent="0.3">
      <c r="A7">
        <v>6</v>
      </c>
      <c r="B7">
        <f>medicamento!A6</f>
        <v>5</v>
      </c>
      <c r="C7">
        <f>medico!A5</f>
        <v>4</v>
      </c>
      <c r="D7">
        <f>paciente!A6</f>
        <v>5</v>
      </c>
      <c r="E7">
        <f>cantidad_medicamento_entregado!A4</f>
        <v>3</v>
      </c>
      <c r="F7">
        <f>enfermedad!A2</f>
        <v>1</v>
      </c>
    </row>
    <row r="8" spans="1:6" x14ac:dyDescent="0.3">
      <c r="A8">
        <v>7</v>
      </c>
      <c r="B8">
        <f>medicamento!A5</f>
        <v>4</v>
      </c>
      <c r="C8">
        <f>medico!A5</f>
        <v>4</v>
      </c>
      <c r="D8">
        <f>paciente!A6</f>
        <v>5</v>
      </c>
      <c r="E8">
        <f>cantidad_medicamento_entregado!A4</f>
        <v>3</v>
      </c>
      <c r="F8">
        <f>enfermedad!A2</f>
        <v>1</v>
      </c>
    </row>
    <row r="9" spans="1:6" x14ac:dyDescent="0.3">
      <c r="A9">
        <v>8</v>
      </c>
      <c r="B9">
        <f>medicamento!A6</f>
        <v>5</v>
      </c>
      <c r="C9">
        <f>medico!A5</f>
        <v>4</v>
      </c>
      <c r="D9">
        <f>paciente!A7</f>
        <v>6</v>
      </c>
      <c r="E9">
        <f>cantidad_medicamento_entregado!A4</f>
        <v>3</v>
      </c>
      <c r="F9">
        <f>enfermedad!A6</f>
        <v>5</v>
      </c>
    </row>
    <row r="10" spans="1:6" x14ac:dyDescent="0.3">
      <c r="A10">
        <v>9</v>
      </c>
      <c r="B10">
        <f>medicamento!A5</f>
        <v>4</v>
      </c>
      <c r="C10">
        <f>medico!A5</f>
        <v>4</v>
      </c>
      <c r="D10">
        <f>paciente!A7</f>
        <v>6</v>
      </c>
      <c r="E10">
        <f>cantidad_medicamento_entregado!A2</f>
        <v>1</v>
      </c>
      <c r="F10">
        <f>enfermedad!A6</f>
        <v>5</v>
      </c>
    </row>
    <row r="11" spans="1:6" x14ac:dyDescent="0.3">
      <c r="A11">
        <v>10</v>
      </c>
      <c r="B11">
        <f>medicamento!A6</f>
        <v>5</v>
      </c>
      <c r="C11">
        <f>medico!A5</f>
        <v>4</v>
      </c>
      <c r="D11">
        <f>paciente!A8</f>
        <v>7</v>
      </c>
      <c r="E11">
        <f>cantidad_medicamento_entregado!A3</f>
        <v>2</v>
      </c>
      <c r="F11">
        <f>enfermedad!A7</f>
        <v>6</v>
      </c>
    </row>
    <row r="12" spans="1:6" x14ac:dyDescent="0.3">
      <c r="A12">
        <v>11</v>
      </c>
      <c r="B12">
        <f>medicamento!A5</f>
        <v>4</v>
      </c>
      <c r="C12">
        <f>medico!A5</f>
        <v>4</v>
      </c>
      <c r="D12">
        <f>paciente!A8</f>
        <v>7</v>
      </c>
      <c r="E12">
        <f>cantidad_medicamento_entregado!A3</f>
        <v>2</v>
      </c>
      <c r="F12">
        <f>enfermedad!A7</f>
        <v>6</v>
      </c>
    </row>
    <row r="13" spans="1:6" x14ac:dyDescent="0.3">
      <c r="A13">
        <v>12</v>
      </c>
      <c r="B13">
        <f>medicamento!A5</f>
        <v>4</v>
      </c>
      <c r="C13">
        <f>medico!A5</f>
        <v>4</v>
      </c>
      <c r="D13">
        <f>paciente!A8</f>
        <v>7</v>
      </c>
      <c r="E13">
        <f>cantidad_medicamento_entregado!A4</f>
        <v>3</v>
      </c>
      <c r="F13">
        <f>enfermedad!A7</f>
        <v>6</v>
      </c>
    </row>
    <row r="14" spans="1:6" x14ac:dyDescent="0.3">
      <c r="A14">
        <v>13</v>
      </c>
      <c r="B14">
        <f>medicamento!A7</f>
        <v>6</v>
      </c>
      <c r="C14">
        <f>medico!A3</f>
        <v>2</v>
      </c>
      <c r="D14">
        <f>paciente!A9</f>
        <v>8</v>
      </c>
      <c r="E14">
        <f>cantidad_medicamento_entregado!A4</f>
        <v>3</v>
      </c>
      <c r="F14">
        <f>enfermedad!A6</f>
        <v>5</v>
      </c>
    </row>
    <row r="15" spans="1:6" x14ac:dyDescent="0.3">
      <c r="A15">
        <v>14</v>
      </c>
      <c r="B15">
        <f>medicamento!A8</f>
        <v>7</v>
      </c>
      <c r="C15">
        <f>medico!A3</f>
        <v>2</v>
      </c>
      <c r="D15">
        <f>paciente!A9</f>
        <v>8</v>
      </c>
      <c r="E15">
        <f>cantidad_medicamento_entregado!A4</f>
        <v>3</v>
      </c>
      <c r="F15">
        <f>enfermedad!A6</f>
        <v>5</v>
      </c>
    </row>
    <row r="16" spans="1:6" x14ac:dyDescent="0.3">
      <c r="A16">
        <v>15</v>
      </c>
      <c r="B16">
        <f>medicamento!A6</f>
        <v>5</v>
      </c>
      <c r="C16">
        <f>medico!A7</f>
        <v>6</v>
      </c>
      <c r="D16">
        <f>paciente!A10</f>
        <v>9</v>
      </c>
      <c r="E16">
        <f>cantidad_medicamento_entregado!A2</f>
        <v>1</v>
      </c>
      <c r="F16">
        <f>enfermedad!A3</f>
        <v>2</v>
      </c>
    </row>
    <row r="17" spans="1:6" x14ac:dyDescent="0.3">
      <c r="A17">
        <v>16</v>
      </c>
      <c r="B17">
        <f>medicamento!A5</f>
        <v>4</v>
      </c>
      <c r="C17">
        <f>medico!A7</f>
        <v>6</v>
      </c>
      <c r="D17">
        <f>paciente!A10</f>
        <v>9</v>
      </c>
      <c r="E17">
        <f>cantidad_medicamento_entregado!A4</f>
        <v>3</v>
      </c>
      <c r="F17">
        <f>enfermedad!A3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7F79-C8B2-47D4-9E55-5B8CE823C984}">
  <dimension ref="A1:B7"/>
  <sheetViews>
    <sheetView workbookViewId="0">
      <selection activeCell="B12" sqref="B12"/>
    </sheetView>
  </sheetViews>
  <sheetFormatPr baseColWidth="10" defaultRowHeight="14.4" x14ac:dyDescent="0.3"/>
  <cols>
    <col min="1" max="1" width="17.109375" customWidth="1"/>
    <col min="2" max="2" width="20.6640625" customWidth="1"/>
  </cols>
  <sheetData>
    <row r="1" spans="1:2" ht="15" thickBot="1" x14ac:dyDescent="0.35">
      <c r="A1" s="1" t="s">
        <v>89</v>
      </c>
      <c r="B1" s="4" t="s">
        <v>81</v>
      </c>
    </row>
    <row r="2" spans="1:2" ht="15" thickBot="1" x14ac:dyDescent="0.35">
      <c r="A2">
        <v>1</v>
      </c>
      <c r="B2" s="2" t="s">
        <v>82</v>
      </c>
    </row>
    <row r="3" spans="1:2" ht="15" thickBot="1" x14ac:dyDescent="0.35">
      <c r="A3">
        <v>2</v>
      </c>
      <c r="B3" s="2" t="s">
        <v>83</v>
      </c>
    </row>
    <row r="4" spans="1:2" ht="15" thickBot="1" x14ac:dyDescent="0.35">
      <c r="A4">
        <v>3</v>
      </c>
      <c r="B4" s="2" t="s">
        <v>84</v>
      </c>
    </row>
    <row r="5" spans="1:2" ht="15" thickBot="1" x14ac:dyDescent="0.35">
      <c r="A5">
        <v>4</v>
      </c>
      <c r="B5" s="2" t="s">
        <v>85</v>
      </c>
    </row>
    <row r="6" spans="1:2" ht="15" thickBot="1" x14ac:dyDescent="0.35">
      <c r="A6">
        <v>5</v>
      </c>
      <c r="B6" s="2" t="s">
        <v>86</v>
      </c>
    </row>
    <row r="7" spans="1:2" ht="15" thickBot="1" x14ac:dyDescent="0.35">
      <c r="A7">
        <v>6</v>
      </c>
      <c r="B7" s="2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5A15-B32D-45BC-B49B-5F4C4B64CCB3}">
  <dimension ref="A1:I17"/>
  <sheetViews>
    <sheetView topLeftCell="D1" zoomScale="70" zoomScaleNormal="70" workbookViewId="0">
      <selection activeCell="I18" sqref="I18"/>
    </sheetView>
  </sheetViews>
  <sheetFormatPr baseColWidth="10" defaultRowHeight="14.4" x14ac:dyDescent="0.3"/>
  <cols>
    <col min="1" max="1" width="19.5546875" customWidth="1"/>
    <col min="2" max="2" width="26.6640625" customWidth="1"/>
    <col min="3" max="3" width="25.88671875" customWidth="1"/>
    <col min="4" max="4" width="36.5546875" customWidth="1"/>
    <col min="5" max="5" width="25.21875" customWidth="1"/>
    <col min="6" max="6" width="34.5546875" customWidth="1"/>
    <col min="7" max="7" width="33.88671875" customWidth="1"/>
    <col min="8" max="8" width="32" customWidth="1"/>
    <col min="9" max="9" width="21.109375" customWidth="1"/>
  </cols>
  <sheetData>
    <row r="1" spans="1:9" x14ac:dyDescent="0.3">
      <c r="A1" s="1" t="s">
        <v>88</v>
      </c>
      <c r="B1" s="1" t="s">
        <v>90</v>
      </c>
      <c r="C1" s="10" t="s">
        <v>91</v>
      </c>
      <c r="D1" s="7" t="s">
        <v>92</v>
      </c>
      <c r="E1" s="1" t="s">
        <v>93</v>
      </c>
      <c r="F1" s="7" t="s">
        <v>94</v>
      </c>
      <c r="G1" s="7" t="s">
        <v>95</v>
      </c>
      <c r="H1" s="7" t="s">
        <v>96</v>
      </c>
      <c r="I1" s="4" t="s">
        <v>124</v>
      </c>
    </row>
    <row r="2" spans="1:9" x14ac:dyDescent="0.3">
      <c r="A2">
        <v>1</v>
      </c>
      <c r="B2">
        <f>paciente!A2</f>
        <v>1</v>
      </c>
      <c r="C2">
        <f>paciente!H2</f>
        <v>1</v>
      </c>
      <c r="D2">
        <f>paciente!F2</f>
        <v>1</v>
      </c>
      <c r="E2">
        <f>medicamento_entregado!C2</f>
        <v>1</v>
      </c>
      <c r="F2">
        <f>especializacion!A2</f>
        <v>1</v>
      </c>
      <c r="G2">
        <f>medicamento_entregado!B2</f>
        <v>2</v>
      </c>
      <c r="H2">
        <f>medicamento_entregado!F2</f>
        <v>1</v>
      </c>
      <c r="I2" s="14">
        <f>fecha_entrega!A2</f>
        <v>1</v>
      </c>
    </row>
    <row r="3" spans="1:9" x14ac:dyDescent="0.3">
      <c r="A3">
        <v>2</v>
      </c>
      <c r="B3">
        <f>paciente!A2</f>
        <v>1</v>
      </c>
      <c r="C3">
        <f>paciente!H2</f>
        <v>1</v>
      </c>
      <c r="D3">
        <f>paciente!F2</f>
        <v>1</v>
      </c>
      <c r="E3">
        <f>medicamento_entregado!C3</f>
        <v>1</v>
      </c>
      <c r="F3">
        <f>medico!C2</f>
        <v>1</v>
      </c>
      <c r="G3">
        <f>medicamento_entregado!B3</f>
        <v>4</v>
      </c>
      <c r="H3">
        <f>medicamento_entregado!F3</f>
        <v>1</v>
      </c>
      <c r="I3" s="14">
        <f>fecha_entrega!A2</f>
        <v>1</v>
      </c>
    </row>
    <row r="4" spans="1:9" x14ac:dyDescent="0.3">
      <c r="A4">
        <v>3</v>
      </c>
      <c r="B4">
        <f>medicamento_entregado!D4</f>
        <v>2</v>
      </c>
      <c r="C4">
        <f>paciente!H3</f>
        <v>2</v>
      </c>
      <c r="D4">
        <f>paciente!F3</f>
        <v>2</v>
      </c>
      <c r="E4">
        <f>medicamento_entregado!C4</f>
        <v>2</v>
      </c>
      <c r="F4">
        <f>medico!C3</f>
        <v>2</v>
      </c>
      <c r="G4">
        <f>medicamento_entregado!B4</f>
        <v>2</v>
      </c>
      <c r="H4">
        <f>medicamento_entregado!F4</f>
        <v>2</v>
      </c>
      <c r="I4" s="14">
        <f>fecha_entrega!A3</f>
        <v>2</v>
      </c>
    </row>
    <row r="5" spans="1:9" x14ac:dyDescent="0.3">
      <c r="A5">
        <v>4</v>
      </c>
      <c r="B5">
        <f>medicamento_entregado!D5</f>
        <v>3</v>
      </c>
      <c r="C5">
        <f>paciente!H4</f>
        <v>1</v>
      </c>
      <c r="D5">
        <f>paciente!F4</f>
        <v>3</v>
      </c>
      <c r="E5">
        <f>medicamento_entregado!C5</f>
        <v>1</v>
      </c>
      <c r="F5">
        <f>medico!C2</f>
        <v>1</v>
      </c>
      <c r="G5">
        <f>medicamento_entregado!B5</f>
        <v>3</v>
      </c>
      <c r="H5">
        <f>medicamento_entregado!F5</f>
        <v>3</v>
      </c>
      <c r="I5" s="14">
        <f>fecha_entrega!A4</f>
        <v>3</v>
      </c>
    </row>
    <row r="6" spans="1:9" x14ac:dyDescent="0.3">
      <c r="A6">
        <v>5</v>
      </c>
      <c r="B6">
        <f>medicamento_entregado!D6</f>
        <v>4</v>
      </c>
      <c r="C6">
        <f>paciente!H5</f>
        <v>2</v>
      </c>
      <c r="D6">
        <f>paciente!F5</f>
        <v>4</v>
      </c>
      <c r="E6">
        <f>medicamento_entregado!C6</f>
        <v>3</v>
      </c>
      <c r="F6">
        <f>medico!C4</f>
        <v>3</v>
      </c>
      <c r="G6">
        <f>medicamento_entregado!B6</f>
        <v>4</v>
      </c>
      <c r="H6">
        <f>medicamento_entregado!F6</f>
        <v>4</v>
      </c>
      <c r="I6" s="14">
        <f>fecha_entrega!A5</f>
        <v>4</v>
      </c>
    </row>
    <row r="7" spans="1:9" x14ac:dyDescent="0.3">
      <c r="A7">
        <v>8</v>
      </c>
      <c r="B7">
        <f>medicamento_entregado!D7</f>
        <v>5</v>
      </c>
      <c r="C7">
        <f>paciente!H6</f>
        <v>1</v>
      </c>
      <c r="D7">
        <f>paciente!F6</f>
        <v>1</v>
      </c>
      <c r="E7">
        <f>medicamento_entregado!C7</f>
        <v>4</v>
      </c>
      <c r="F7">
        <f>medico!C5</f>
        <v>4</v>
      </c>
      <c r="G7">
        <f>medicamento_entregado!B7</f>
        <v>5</v>
      </c>
      <c r="H7">
        <f>medicamento_entregado!F7</f>
        <v>1</v>
      </c>
      <c r="I7" s="14">
        <f>fecha_entrega!A6</f>
        <v>5</v>
      </c>
    </row>
    <row r="8" spans="1:9" x14ac:dyDescent="0.3">
      <c r="A8">
        <v>9</v>
      </c>
      <c r="B8">
        <f>medicamento_entregado!D8</f>
        <v>5</v>
      </c>
      <c r="C8">
        <f>paciente!H6</f>
        <v>1</v>
      </c>
      <c r="D8">
        <f>paciente!F6</f>
        <v>1</v>
      </c>
      <c r="E8">
        <f>medicamento_entregado!C8</f>
        <v>4</v>
      </c>
      <c r="F8">
        <f>medico!C5</f>
        <v>4</v>
      </c>
      <c r="G8">
        <f>medicamento_entregado!F8</f>
        <v>1</v>
      </c>
      <c r="H8">
        <f>medicamento_entregado!F8</f>
        <v>1</v>
      </c>
      <c r="I8" s="14">
        <f>fecha_entrega!A6</f>
        <v>5</v>
      </c>
    </row>
    <row r="9" spans="1:9" x14ac:dyDescent="0.3">
      <c r="A9">
        <v>10</v>
      </c>
      <c r="B9">
        <f>medicamento_entregado!D9</f>
        <v>6</v>
      </c>
      <c r="C9">
        <f>paciente!H7</f>
        <v>3</v>
      </c>
      <c r="D9">
        <f>paciente!F7</f>
        <v>2</v>
      </c>
      <c r="E9">
        <f>medicamento_entregado!C9</f>
        <v>4</v>
      </c>
      <c r="F9">
        <f>medico!C5</f>
        <v>4</v>
      </c>
      <c r="G9">
        <f>medicamento_entregado!B9</f>
        <v>5</v>
      </c>
      <c r="H9">
        <f>medicamento_entregado!F9</f>
        <v>5</v>
      </c>
      <c r="I9" s="14">
        <f>fecha_entrega!A7</f>
        <v>6</v>
      </c>
    </row>
    <row r="10" spans="1:9" x14ac:dyDescent="0.3">
      <c r="A10">
        <v>11</v>
      </c>
      <c r="B10">
        <f>medicamento_entregado!D10</f>
        <v>6</v>
      </c>
      <c r="C10">
        <f>paciente!H7</f>
        <v>3</v>
      </c>
      <c r="D10">
        <f>paciente!F7</f>
        <v>2</v>
      </c>
      <c r="E10">
        <f>medicamento_entregado!C10</f>
        <v>4</v>
      </c>
      <c r="F10">
        <f>medico!C5</f>
        <v>4</v>
      </c>
      <c r="G10">
        <f>medicamento_entregado!B10</f>
        <v>4</v>
      </c>
      <c r="H10">
        <f>medicamento_entregado!F10</f>
        <v>5</v>
      </c>
      <c r="I10" s="14">
        <f>fecha_entrega!A7</f>
        <v>6</v>
      </c>
    </row>
    <row r="11" spans="1:9" x14ac:dyDescent="0.3">
      <c r="A11">
        <v>12</v>
      </c>
      <c r="B11">
        <f>medicamento_entregado!D11</f>
        <v>7</v>
      </c>
      <c r="C11">
        <f>paciente!H8</f>
        <v>4</v>
      </c>
      <c r="D11">
        <f>paciente!F8</f>
        <v>1</v>
      </c>
      <c r="E11">
        <f>medicamento_entregado!C11</f>
        <v>4</v>
      </c>
      <c r="F11">
        <f>medico!C5</f>
        <v>4</v>
      </c>
      <c r="G11">
        <f>medicamento_entregado!B11</f>
        <v>5</v>
      </c>
      <c r="H11">
        <f>medicamento_entregado!F11</f>
        <v>6</v>
      </c>
      <c r="I11" s="14">
        <f>fecha_entrega!A8</f>
        <v>7</v>
      </c>
    </row>
    <row r="12" spans="1:9" x14ac:dyDescent="0.3">
      <c r="A12">
        <v>13</v>
      </c>
      <c r="B12">
        <f>medicamento_entregado!D12</f>
        <v>7</v>
      </c>
      <c r="C12">
        <f>paciente!H8</f>
        <v>4</v>
      </c>
      <c r="D12">
        <f>paciente!F8</f>
        <v>1</v>
      </c>
      <c r="E12">
        <f>medicamento_entregado!C12</f>
        <v>4</v>
      </c>
      <c r="F12">
        <f>medico!C5</f>
        <v>4</v>
      </c>
      <c r="G12">
        <f>medicamento_entregado!B12</f>
        <v>4</v>
      </c>
      <c r="H12">
        <f>medicamento_entregado!F12</f>
        <v>6</v>
      </c>
      <c r="I12" s="14">
        <f>fecha_entrega!A8</f>
        <v>7</v>
      </c>
    </row>
    <row r="13" spans="1:9" x14ac:dyDescent="0.3">
      <c r="A13">
        <v>14</v>
      </c>
      <c r="B13">
        <f>medicamento_entregado!D13</f>
        <v>7</v>
      </c>
      <c r="C13">
        <f>paciente!H8</f>
        <v>4</v>
      </c>
      <c r="D13">
        <f>paciente!F8</f>
        <v>1</v>
      </c>
      <c r="E13">
        <f>medicamento_entregado!C13</f>
        <v>4</v>
      </c>
      <c r="F13">
        <f>medico!C5</f>
        <v>4</v>
      </c>
      <c r="G13">
        <f>medicamento_entregado!B13</f>
        <v>4</v>
      </c>
      <c r="H13">
        <f>medicamento_entregado!F13</f>
        <v>6</v>
      </c>
      <c r="I13" s="14">
        <f>fecha_entrega!A8</f>
        <v>7</v>
      </c>
    </row>
    <row r="14" spans="1:9" x14ac:dyDescent="0.3">
      <c r="A14">
        <v>15</v>
      </c>
      <c r="B14">
        <f>medicamento_entregado!D14</f>
        <v>8</v>
      </c>
      <c r="C14">
        <f>paciente!H9</f>
        <v>4</v>
      </c>
      <c r="D14">
        <f>paciente!F9</f>
        <v>3</v>
      </c>
      <c r="E14">
        <f>medicamento_entregado!C14</f>
        <v>2</v>
      </c>
      <c r="F14">
        <f>medico!C3</f>
        <v>2</v>
      </c>
      <c r="G14">
        <f>medicamento_entregado!B14</f>
        <v>6</v>
      </c>
      <c r="H14">
        <f>medicamento_entregado!F14</f>
        <v>5</v>
      </c>
      <c r="I14" s="14">
        <f>fecha_entrega!A9</f>
        <v>8</v>
      </c>
    </row>
    <row r="15" spans="1:9" x14ac:dyDescent="0.3">
      <c r="A15">
        <v>16</v>
      </c>
      <c r="B15">
        <f>medicamento_entregado!D15</f>
        <v>8</v>
      </c>
      <c r="C15">
        <f>paciente!H9</f>
        <v>4</v>
      </c>
      <c r="D15">
        <f>paciente!F9</f>
        <v>3</v>
      </c>
      <c r="E15">
        <f>medicamento_entregado!C15</f>
        <v>2</v>
      </c>
      <c r="F15">
        <f>medico!C3</f>
        <v>2</v>
      </c>
      <c r="G15">
        <f>medicamento_entregado!B15</f>
        <v>7</v>
      </c>
      <c r="H15">
        <f>medicamento_entregado!F15</f>
        <v>5</v>
      </c>
      <c r="I15" s="14">
        <f>fecha_entrega!A9</f>
        <v>8</v>
      </c>
    </row>
    <row r="16" spans="1:9" x14ac:dyDescent="0.3">
      <c r="A16">
        <v>17</v>
      </c>
      <c r="B16">
        <f>medicamento_entregado!D16</f>
        <v>9</v>
      </c>
      <c r="C16">
        <f>paciente!H10</f>
        <v>5</v>
      </c>
      <c r="D16">
        <f>paciente!F10</f>
        <v>4</v>
      </c>
      <c r="E16">
        <f>medicamento_entregado!C16</f>
        <v>6</v>
      </c>
      <c r="F16">
        <f>medico!C7</f>
        <v>3</v>
      </c>
      <c r="G16">
        <f>medicamento_entregado!B16</f>
        <v>5</v>
      </c>
      <c r="H16">
        <f>medicamento_entregado!F16</f>
        <v>2</v>
      </c>
      <c r="I16" s="14">
        <f>fecha_entrega!A10</f>
        <v>9</v>
      </c>
    </row>
    <row r="17" spans="1:9" x14ac:dyDescent="0.3">
      <c r="A17">
        <v>18</v>
      </c>
      <c r="B17">
        <f>medicamento_entregado!D17</f>
        <v>9</v>
      </c>
      <c r="C17">
        <f>paciente!H10</f>
        <v>5</v>
      </c>
      <c r="D17">
        <f>paciente!F10</f>
        <v>4</v>
      </c>
      <c r="E17">
        <f>medicamento_entregado!C17</f>
        <v>6</v>
      </c>
      <c r="F17">
        <f>medico!C7</f>
        <v>3</v>
      </c>
      <c r="G17">
        <f>medicamento_entregado!B17</f>
        <v>4</v>
      </c>
      <c r="H17">
        <f>medicamento_entregado!F17</f>
        <v>2</v>
      </c>
      <c r="I17" s="14">
        <f>fecha_entrega!A10</f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EF7F-2848-4EE5-9E65-51553A0E3ACF}">
  <dimension ref="A1:B10"/>
  <sheetViews>
    <sheetView workbookViewId="0">
      <selection activeCell="D8" sqref="D8"/>
    </sheetView>
  </sheetViews>
  <sheetFormatPr baseColWidth="10" defaultRowHeight="14.4" x14ac:dyDescent="0.3"/>
  <cols>
    <col min="1" max="1" width="18" customWidth="1"/>
    <col min="2" max="2" width="18.109375" customWidth="1"/>
  </cols>
  <sheetData>
    <row r="1" spans="1:2" ht="15" thickBot="1" x14ac:dyDescent="0.35">
      <c r="A1" s="1" t="s">
        <v>125</v>
      </c>
      <c r="B1" s="4" t="s">
        <v>126</v>
      </c>
    </row>
    <row r="2" spans="1:2" ht="15" thickBot="1" x14ac:dyDescent="0.35">
      <c r="A2">
        <v>1</v>
      </c>
      <c r="B2" s="13">
        <v>45672</v>
      </c>
    </row>
    <row r="3" spans="1:2" ht="15" thickBot="1" x14ac:dyDescent="0.35">
      <c r="A3">
        <v>2</v>
      </c>
      <c r="B3" s="13">
        <v>45675</v>
      </c>
    </row>
    <row r="4" spans="1:2" ht="15" thickBot="1" x14ac:dyDescent="0.35">
      <c r="A4">
        <v>3</v>
      </c>
      <c r="B4" s="13">
        <v>45684</v>
      </c>
    </row>
    <row r="5" spans="1:2" ht="15" thickBot="1" x14ac:dyDescent="0.35">
      <c r="A5">
        <v>4</v>
      </c>
      <c r="B5" s="13">
        <v>45668</v>
      </c>
    </row>
    <row r="6" spans="1:2" ht="15" thickBot="1" x14ac:dyDescent="0.35">
      <c r="A6">
        <v>5</v>
      </c>
      <c r="B6" s="13">
        <v>45695</v>
      </c>
    </row>
    <row r="7" spans="1:2" ht="15" thickBot="1" x14ac:dyDescent="0.35">
      <c r="A7">
        <v>6</v>
      </c>
      <c r="B7" s="13">
        <v>45660</v>
      </c>
    </row>
    <row r="8" spans="1:2" ht="15" thickBot="1" x14ac:dyDescent="0.35">
      <c r="A8">
        <v>7</v>
      </c>
      <c r="B8" s="13">
        <v>45686</v>
      </c>
    </row>
    <row r="9" spans="1:2" ht="15" thickBot="1" x14ac:dyDescent="0.35">
      <c r="A9">
        <v>8</v>
      </c>
      <c r="B9" s="13">
        <v>45706</v>
      </c>
    </row>
    <row r="10" spans="1:2" ht="15" thickBot="1" x14ac:dyDescent="0.35">
      <c r="A10">
        <v>9</v>
      </c>
      <c r="B10" s="13">
        <v>45666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1705-BEFD-4C72-92ED-B6D41D29052C}">
  <dimension ref="A1:B4"/>
  <sheetViews>
    <sheetView workbookViewId="0">
      <selection activeCell="B12" sqref="B12"/>
    </sheetView>
  </sheetViews>
  <sheetFormatPr baseColWidth="10" defaultRowHeight="14.4" x14ac:dyDescent="0.3"/>
  <cols>
    <col min="1" max="1" width="27" customWidth="1"/>
    <col min="2" max="2" width="31.5546875" customWidth="1"/>
  </cols>
  <sheetData>
    <row r="1" spans="1:2" x14ac:dyDescent="0.3">
      <c r="A1" s="12" t="s">
        <v>66</v>
      </c>
      <c r="B1" s="4" t="s">
        <v>68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paciente</vt:lpstr>
      <vt:lpstr>ciudad</vt:lpstr>
      <vt:lpstr>tipo_documento</vt:lpstr>
      <vt:lpstr>medico</vt:lpstr>
      <vt:lpstr>especializacion</vt:lpstr>
      <vt:lpstr>medicamento</vt:lpstr>
      <vt:lpstr>medicamento_entregado</vt:lpstr>
      <vt:lpstr>enfermedad</vt:lpstr>
      <vt:lpstr>entrega_final</vt:lpstr>
      <vt:lpstr>fecha_entrega</vt:lpstr>
      <vt:lpstr>cantidad_medicamento_entregado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2026-06-27T22:14:18Z</dcterms:modified>
</cp:coreProperties>
</file>