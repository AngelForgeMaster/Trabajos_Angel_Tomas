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SENA\JUEVES CLASES\Excel Clase\"/>
    </mc:Choice>
  </mc:AlternateContent>
  <xr:revisionPtr revIDLastSave="0" documentId="13_ncr:1_{021AA7AC-A957-4F7B-9006-17B78F86F43B}" xr6:coauthVersionLast="36" xr6:coauthVersionMax="36" xr10:uidLastSave="{00000000-0000-0000-0000-000000000000}"/>
  <bookViews>
    <workbookView xWindow="0" yWindow="0" windowWidth="16392" windowHeight="5460" firstSheet="1" activeTab="2" xr2:uid="{8566CC86-4C0B-4506-9ECC-55413F730ACB}"/>
  </bookViews>
  <sheets>
    <sheet name="Clientes" sheetId="1" r:id="rId1"/>
    <sheet name="clientes_2" sheetId="2" r:id="rId2"/>
    <sheet name="Entrenadores" sheetId="4" r:id="rId3"/>
    <sheet name="Membresias" sheetId="3" r:id="rId4"/>
    <sheet name="factura" sheetId="5" r:id="rId5"/>
    <sheet name="Hoja6" sheetId="6" r:id="rId6"/>
    <sheet name="Hoja7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5" l="1"/>
  <c r="B11" i="5"/>
  <c r="B14" i="5"/>
  <c r="B13" i="5"/>
  <c r="B12" i="5"/>
</calcChain>
</file>

<file path=xl/sharedStrings.xml><?xml version="1.0" encoding="utf-8"?>
<sst xmlns="http://schemas.openxmlformats.org/spreadsheetml/2006/main" count="213" uniqueCount="157">
  <si>
    <t>id_pedido</t>
  </si>
  <si>
    <t>producto</t>
  </si>
  <si>
    <t>cliente</t>
  </si>
  <si>
    <t>Ana</t>
  </si>
  <si>
    <t>Mouse, Teclado, Monitor</t>
  </si>
  <si>
    <t>Cedula</t>
  </si>
  <si>
    <t>Nombre</t>
  </si>
  <si>
    <t>Apellido</t>
  </si>
  <si>
    <t>Direccion</t>
  </si>
  <si>
    <t>Celular</t>
  </si>
  <si>
    <t>Email</t>
  </si>
  <si>
    <t>Contacto Emergencia</t>
  </si>
  <si>
    <t>carlos</t>
  </si>
  <si>
    <t>restrepo</t>
  </si>
  <si>
    <t>diana</t>
  </si>
  <si>
    <t>Andres</t>
  </si>
  <si>
    <t>Calle 123</t>
  </si>
  <si>
    <t>Calle 124</t>
  </si>
  <si>
    <t>Calle 125</t>
  </si>
  <si>
    <t>Calle 126</t>
  </si>
  <si>
    <t>Calle 127</t>
  </si>
  <si>
    <t>Calle 128</t>
  </si>
  <si>
    <t>Calle 129</t>
  </si>
  <si>
    <t>Calle 130</t>
  </si>
  <si>
    <t>Calle 131</t>
  </si>
  <si>
    <t>palacios</t>
  </si>
  <si>
    <t>Holguin</t>
  </si>
  <si>
    <t>mendoza</t>
  </si>
  <si>
    <t>Gomez</t>
  </si>
  <si>
    <t>Echevarria</t>
  </si>
  <si>
    <t>Bermudez</t>
  </si>
  <si>
    <t>Ospina</t>
  </si>
  <si>
    <t>Jaramillo</t>
  </si>
  <si>
    <t>Martha</t>
  </si>
  <si>
    <t>Jorge</t>
  </si>
  <si>
    <t>Sofia</t>
  </si>
  <si>
    <t>Gabriel</t>
  </si>
  <si>
    <t>Valeria</t>
  </si>
  <si>
    <t>Ricarco</t>
  </si>
  <si>
    <t>Laura</t>
  </si>
  <si>
    <t>Villa</t>
  </si>
  <si>
    <t>Calle 132</t>
  </si>
  <si>
    <t>carlos@email.com</t>
  </si>
  <si>
    <t>diana@email.com</t>
  </si>
  <si>
    <t>andres@email.com</t>
  </si>
  <si>
    <t>laura@email.com</t>
  </si>
  <si>
    <t>martha@email.com</t>
  </si>
  <si>
    <t>jorge@email.com</t>
  </si>
  <si>
    <t>sofia@email.com</t>
  </si>
  <si>
    <t>gabiel@email.com</t>
  </si>
  <si>
    <t>valeria@email.com</t>
  </si>
  <si>
    <t>ricardo@email.com</t>
  </si>
  <si>
    <t>Maria Restrepo</t>
  </si>
  <si>
    <t>Telefono Emergencia</t>
  </si>
  <si>
    <t>Miguel Ortiz</t>
  </si>
  <si>
    <t>maria martinez</t>
  </si>
  <si>
    <t>daniel miguel</t>
  </si>
  <si>
    <t>jose restrepo</t>
  </si>
  <si>
    <t>laura aristizabal</t>
  </si>
  <si>
    <t>jose aristi</t>
  </si>
  <si>
    <t>samuel zaát</t>
  </si>
  <si>
    <t>churrusco sofa</t>
  </si>
  <si>
    <t>sofia martinez</t>
  </si>
  <si>
    <t>SUB-01</t>
  </si>
  <si>
    <t>SUB-02</t>
  </si>
  <si>
    <t>SUB-03</t>
  </si>
  <si>
    <t>SUB-04</t>
  </si>
  <si>
    <t>SUB-05</t>
  </si>
  <si>
    <t>SUB-06</t>
  </si>
  <si>
    <t>SUB-07</t>
  </si>
  <si>
    <t>SUB-08</t>
  </si>
  <si>
    <t>SUB-09</t>
  </si>
  <si>
    <t>SUB-10</t>
  </si>
  <si>
    <t>id_coah</t>
  </si>
  <si>
    <t>CO-01</t>
  </si>
  <si>
    <t>CO-02</t>
  </si>
  <si>
    <t>CO-03</t>
  </si>
  <si>
    <t>CO-04</t>
  </si>
  <si>
    <t>CO-05</t>
  </si>
  <si>
    <t>CO-06</t>
  </si>
  <si>
    <t>CO-07</t>
  </si>
  <si>
    <t>CO-08</t>
  </si>
  <si>
    <t>CO-09</t>
  </si>
  <si>
    <t>CO-10</t>
  </si>
  <si>
    <t>cedula</t>
  </si>
  <si>
    <t>nombre</t>
  </si>
  <si>
    <t>apellido</t>
  </si>
  <si>
    <t>direccion</t>
  </si>
  <si>
    <t>costo hora</t>
  </si>
  <si>
    <t>miguel</t>
  </si>
  <si>
    <t>jose</t>
  </si>
  <si>
    <t>arturo</t>
  </si>
  <si>
    <t>camilo</t>
  </si>
  <si>
    <t>manuel</t>
  </si>
  <si>
    <t>angel</t>
  </si>
  <si>
    <t>eduardo</t>
  </si>
  <si>
    <t>carilla</t>
  </si>
  <si>
    <t>eriveth</t>
  </si>
  <si>
    <t>josefa</t>
  </si>
  <si>
    <t>rios</t>
  </si>
  <si>
    <t>zapata</t>
  </si>
  <si>
    <t>GIMMAGNETO</t>
  </si>
  <si>
    <t>GRUPO EMPRESARUAL POWERGIM</t>
  </si>
  <si>
    <t>NIT: 8000123456-7</t>
  </si>
  <si>
    <t>Calle 53 # 12-34</t>
  </si>
  <si>
    <t>Medellin - Colombia</t>
  </si>
  <si>
    <t>CLIENTE</t>
  </si>
  <si>
    <t>Codigo</t>
  </si>
  <si>
    <t>DATOS FACTURA</t>
  </si>
  <si>
    <t>Numero</t>
  </si>
  <si>
    <t>Fecha</t>
  </si>
  <si>
    <t>Ciudad</t>
  </si>
  <si>
    <t>Codigo Entrenador</t>
  </si>
  <si>
    <t>Entrenador</t>
  </si>
  <si>
    <t>Medellin</t>
  </si>
  <si>
    <t>Alejandro Cardona</t>
  </si>
  <si>
    <t>ITEM</t>
  </si>
  <si>
    <t>CODIGO</t>
  </si>
  <si>
    <t>DESCRIPCION</t>
  </si>
  <si>
    <t>VALOR UNITARIO</t>
  </si>
  <si>
    <t>CANTIDAD</t>
  </si>
  <si>
    <t>SUBTOTAL</t>
  </si>
  <si>
    <t>Plan Mensual Basico1 (Solo Maquinas)</t>
  </si>
  <si>
    <t>Tipo de plan</t>
  </si>
  <si>
    <t>Plan Mensual Basico2 (Acceso Total - Zonas Humedas)</t>
  </si>
  <si>
    <t>Tiquetera Flexible</t>
  </si>
  <si>
    <t>Plan Trimestral</t>
  </si>
  <si>
    <t>Plan Semestral</t>
  </si>
  <si>
    <t>Plan Anual</t>
  </si>
  <si>
    <t>Plan Corporativo</t>
  </si>
  <si>
    <t>Plan Estudiante</t>
  </si>
  <si>
    <t>Plan Adulto mayor</t>
  </si>
  <si>
    <t>Observaciones:</t>
  </si>
  <si>
    <t>Subtotal</t>
  </si>
  <si>
    <t>Iva</t>
  </si>
  <si>
    <t>Total a Pagar</t>
  </si>
  <si>
    <t>Cedula Cliente</t>
  </si>
  <si>
    <t>Codigo Plan</t>
  </si>
  <si>
    <t>Id Coah</t>
  </si>
  <si>
    <t>Valor de Venta</t>
  </si>
  <si>
    <t>INFORME DE VENTAS POR ENTRENADOR</t>
  </si>
  <si>
    <t>Nombres y Apellidos</t>
  </si>
  <si>
    <t>Total de Ventas</t>
  </si>
  <si>
    <t>miguel restrepo</t>
  </si>
  <si>
    <t>jose rios</t>
  </si>
  <si>
    <t>arturo zapata</t>
  </si>
  <si>
    <t>camilo Gomez</t>
  </si>
  <si>
    <t>manuel Echevarria</t>
  </si>
  <si>
    <t>angel Bermudez</t>
  </si>
  <si>
    <t>eduardo Holguin</t>
  </si>
  <si>
    <t>carilla Ospina</t>
  </si>
  <si>
    <t>eriveth Jaramillo</t>
  </si>
  <si>
    <t>josefa Villa</t>
  </si>
  <si>
    <t>60.000.01</t>
  </si>
  <si>
    <t>Pase gratis un dia</t>
  </si>
  <si>
    <t>Duracion</t>
  </si>
  <si>
    <t>Tarifa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</si>
</sst>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4" tint="0.39997558519241921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0" fontId="1" fillId="0" borderId="0" xfId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0" xfId="0" applyAlignment="1">
      <alignment horizontal="right"/>
    </xf>
    <xf numFmtId="0" fontId="0" fillId="4" borderId="0" xfId="0" applyFill="1"/>
    <xf numFmtId="0" fontId="0" fillId="4" borderId="3" xfId="0" applyFill="1" applyBorder="1"/>
    <xf numFmtId="0" fontId="0" fillId="0" borderId="3" xfId="0" applyBorder="1" applyAlignment="1">
      <alignment horizontal="center"/>
    </xf>
    <xf numFmtId="0" fontId="0" fillId="0" borderId="0" xfId="0" applyBorder="1" applyAlignment="1"/>
    <xf numFmtId="0" fontId="0" fillId="4" borderId="6" xfId="0" applyFill="1" applyBorder="1" applyAlignment="1"/>
    <xf numFmtId="0" fontId="0" fillId="4" borderId="3" xfId="0" applyFill="1" applyBorder="1" applyAlignment="1"/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/>
    </xf>
    <xf numFmtId="0" fontId="0" fillId="4" borderId="0" xfId="0" applyFill="1" applyBorder="1"/>
    <xf numFmtId="0" fontId="0" fillId="4" borderId="0" xfId="0" applyFill="1" applyBorder="1" applyAlignment="1"/>
    <xf numFmtId="0" fontId="0" fillId="0" borderId="0" xfId="0" applyAlignment="1">
      <alignment horizontal="left"/>
    </xf>
    <xf numFmtId="44" fontId="0" fillId="0" borderId="0" xfId="0" applyNumberFormat="1"/>
    <xf numFmtId="14" fontId="0" fillId="0" borderId="0" xfId="0" applyNumberFormat="1"/>
    <xf numFmtId="0" fontId="0" fillId="3" borderId="7" xfId="0" applyFont="1" applyFill="1" applyBorder="1"/>
    <xf numFmtId="3" fontId="0" fillId="0" borderId="0" xfId="0" applyNumberFormat="1"/>
    <xf numFmtId="0" fontId="0" fillId="5" borderId="0" xfId="0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44" fontId="0" fillId="0" borderId="0" xfId="0" applyNumberFormat="1" applyAlignment="1">
      <alignment horizontal="righ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64" fontId="0" fillId="0" borderId="0" xfId="0" applyNumberFormat="1" applyAlignment="1">
      <alignment horizontal="right"/>
    </xf>
    <xf numFmtId="0" fontId="0" fillId="0" borderId="2" xfId="0" applyFont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2">
    <cellStyle name="Hipervínculo" xfId="1" builtinId="8"/>
    <cellStyle name="Normal" xfId="0" builtinId="0"/>
  </cellStyles>
  <dxfs count="4">
    <dxf>
      <numFmt numFmtId="3" formatCode="#,##0"/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5652360017497812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Hoja7!$C$3:$C$12</c:f>
              <c:strCache>
                <c:ptCount val="10"/>
                <c:pt idx="0">
                  <c:v>miguel restrepo</c:v>
                </c:pt>
                <c:pt idx="1">
                  <c:v>jose rios</c:v>
                </c:pt>
                <c:pt idx="2">
                  <c:v>arturo zapata</c:v>
                </c:pt>
                <c:pt idx="3">
                  <c:v>camilo Gomez</c:v>
                </c:pt>
                <c:pt idx="4">
                  <c:v>manuel Echevarria</c:v>
                </c:pt>
                <c:pt idx="5">
                  <c:v>angel Bermudez</c:v>
                </c:pt>
                <c:pt idx="6">
                  <c:v>eduardo Holguin</c:v>
                </c:pt>
                <c:pt idx="7">
                  <c:v>carilla Ospina</c:v>
                </c:pt>
                <c:pt idx="8">
                  <c:v>eriveth Jaramillo</c:v>
                </c:pt>
                <c:pt idx="9">
                  <c:v>josefa Villa</c:v>
                </c:pt>
              </c:strCache>
            </c:strRef>
          </c:cat>
          <c:val>
            <c:numRef>
              <c:f>Hoja7!$E$3:$E$12</c:f>
              <c:numCache>
                <c:formatCode>"$"\ #,##0.00</c:formatCode>
                <c:ptCount val="10"/>
                <c:pt idx="0">
                  <c:v>1115001.74</c:v>
                </c:pt>
                <c:pt idx="1">
                  <c:v>0</c:v>
                </c:pt>
                <c:pt idx="2">
                  <c:v>870000.44</c:v>
                </c:pt>
                <c:pt idx="3">
                  <c:v>790000.25</c:v>
                </c:pt>
                <c:pt idx="4">
                  <c:v>63000.12</c:v>
                </c:pt>
                <c:pt idx="5">
                  <c:v>0</c:v>
                </c:pt>
                <c:pt idx="6">
                  <c:v>0</c:v>
                </c:pt>
                <c:pt idx="7">
                  <c:v>85000.78</c:v>
                </c:pt>
                <c:pt idx="8">
                  <c:v>0</c:v>
                </c:pt>
                <c:pt idx="9">
                  <c:v>1200000.1200000001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5-4827-BB85-151C9E554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5825311"/>
        <c:axId val="10809986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Hoja7!$C$3:$C$12</c15:sqref>
                        </c15:formulaRef>
                      </c:ext>
                    </c:extLst>
                    <c:strCache>
                      <c:ptCount val="10"/>
                      <c:pt idx="0">
                        <c:v>miguel restrepo</c:v>
                      </c:pt>
                      <c:pt idx="1">
                        <c:v>jose rios</c:v>
                      </c:pt>
                      <c:pt idx="2">
                        <c:v>arturo zapata</c:v>
                      </c:pt>
                      <c:pt idx="3">
                        <c:v>camilo Gomez</c:v>
                      </c:pt>
                      <c:pt idx="4">
                        <c:v>manuel Echevarria</c:v>
                      </c:pt>
                      <c:pt idx="5">
                        <c:v>angel Bermudez</c:v>
                      </c:pt>
                      <c:pt idx="6">
                        <c:v>eduardo Holguin</c:v>
                      </c:pt>
                      <c:pt idx="7">
                        <c:v>carilla Ospina</c:v>
                      </c:pt>
                      <c:pt idx="8">
                        <c:v>eriveth Jaramillo</c:v>
                      </c:pt>
                      <c:pt idx="9">
                        <c:v>josefa Villa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Hoja7!$D$3:$D$12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655-4827-BB85-151C9E554389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Hoja7!$C$3:$C$12</c15:sqref>
                        </c15:formulaRef>
                      </c:ext>
                    </c:extLst>
                    <c:strCache>
                      <c:ptCount val="10"/>
                      <c:pt idx="0">
                        <c:v>miguel restrepo</c:v>
                      </c:pt>
                      <c:pt idx="1">
                        <c:v>jose rios</c:v>
                      </c:pt>
                      <c:pt idx="2">
                        <c:v>arturo zapata</c:v>
                      </c:pt>
                      <c:pt idx="3">
                        <c:v>camilo Gomez</c:v>
                      </c:pt>
                      <c:pt idx="4">
                        <c:v>manuel Echevarria</c:v>
                      </c:pt>
                      <c:pt idx="5">
                        <c:v>angel Bermudez</c:v>
                      </c:pt>
                      <c:pt idx="6">
                        <c:v>eduardo Holguin</c:v>
                      </c:pt>
                      <c:pt idx="7">
                        <c:v>carilla Ospina</c:v>
                      </c:pt>
                      <c:pt idx="8">
                        <c:v>eriveth Jaramillo</c:v>
                      </c:pt>
                      <c:pt idx="9">
                        <c:v>josefa Villa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Hoja7!$F$3:$F$12</c15:sqref>
                        </c15:formulaRef>
                      </c:ext>
                    </c:extLst>
                    <c:numCache>
                      <c:formatCode>"$"\ #,##0.00</c:formatCode>
                      <c:ptCount val="10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655-4827-BB85-151C9E554389}"/>
                  </c:ext>
                </c:extLst>
              </c15:ser>
            </c15:filteredBarSeries>
          </c:ext>
        </c:extLst>
      </c:barChart>
      <c:catAx>
        <c:axId val="113582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0998687"/>
        <c:crosses val="autoZero"/>
        <c:auto val="1"/>
        <c:lblAlgn val="ctr"/>
        <c:lblOffset val="100"/>
        <c:noMultiLvlLbl val="0"/>
      </c:catAx>
      <c:valAx>
        <c:axId val="108099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582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121920</xdr:rowOff>
    </xdr:to>
    <xdr:sp macro="" textlink="">
      <xdr:nvSpPr>
        <xdr:cNvPr id="5121" name="AutoShape 1" descr="Gimnasio Logo PNG ,dibujos Clipart Muscular, Logo Icons, Iconos De Gimnasio  PNG y Vector para Descargar Gratis | Pngtree">
          <a:extLst>
            <a:ext uri="{FF2B5EF4-FFF2-40B4-BE49-F238E27FC236}">
              <a16:creationId xmlns:a16="http://schemas.microsoft.com/office/drawing/2014/main" id="{5CE4ABEC-E1D4-4AFD-BFC1-DA5A1349B71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99060</xdr:colOff>
      <xdr:row>0</xdr:row>
      <xdr:rowOff>167640</xdr:rowOff>
    </xdr:from>
    <xdr:to>
      <xdr:col>0</xdr:col>
      <xdr:colOff>403860</xdr:colOff>
      <xdr:row>2</xdr:row>
      <xdr:rowOff>106680</xdr:rowOff>
    </xdr:to>
    <xdr:sp macro="" textlink="">
      <xdr:nvSpPr>
        <xdr:cNvPr id="5122" name="AutoShape 2" descr="Gimnasio Logo PNG ,dibujos Clipart Muscular, Logo Icons, Iconos De Gimnasio  PNG y Vector para Descargar Gratis | Pngtree">
          <a:extLst>
            <a:ext uri="{FF2B5EF4-FFF2-40B4-BE49-F238E27FC236}">
              <a16:creationId xmlns:a16="http://schemas.microsoft.com/office/drawing/2014/main" id="{71EE4AED-2B1F-49ED-A516-C4CDE0C40E73}"/>
            </a:ext>
          </a:extLst>
        </xdr:cNvPr>
        <xdr:cNvSpPr>
          <a:spLocks noChangeAspect="1" noChangeArrowheads="1"/>
        </xdr:cNvSpPr>
      </xdr:nvSpPr>
      <xdr:spPr bwMode="auto">
        <a:xfrm>
          <a:off x="99060" y="16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</xdr:row>
      <xdr:rowOff>0</xdr:rowOff>
    </xdr:from>
    <xdr:ext cx="304800" cy="304800"/>
    <xdr:sp macro="" textlink="">
      <xdr:nvSpPr>
        <xdr:cNvPr id="4" name="AutoShape 1" descr="Gimnasio Logo PNG ,dibujos Clipart Muscular, Logo Icons, Iconos De Gimnasio  PNG y Vector para Descargar Gratis | Pngtree">
          <a:extLst>
            <a:ext uri="{FF2B5EF4-FFF2-40B4-BE49-F238E27FC236}">
              <a16:creationId xmlns:a16="http://schemas.microsoft.com/office/drawing/2014/main" id="{E5F44CE9-E8A7-4E67-9E07-757C6ADB1FE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746760</xdr:colOff>
      <xdr:row>3</xdr:row>
      <xdr:rowOff>83820</xdr:rowOff>
    </xdr:from>
    <xdr:ext cx="304800" cy="304800"/>
    <xdr:sp macro="" textlink="">
      <xdr:nvSpPr>
        <xdr:cNvPr id="5" name="AutoShape 2" descr="Gimnasio Logo PNG ,dibujos Clipart Muscular, Logo Icons, Iconos De Gimnasio  PNG y Vector para Descargar Gratis | Pngtree">
          <a:extLst>
            <a:ext uri="{FF2B5EF4-FFF2-40B4-BE49-F238E27FC236}">
              <a16:creationId xmlns:a16="http://schemas.microsoft.com/office/drawing/2014/main" id="{7ADDBC00-7C71-4AAA-BE88-4F36172CD919}"/>
            </a:ext>
          </a:extLst>
        </xdr:cNvPr>
        <xdr:cNvSpPr>
          <a:spLocks noChangeAspect="1" noChangeArrowheads="1"/>
        </xdr:cNvSpPr>
      </xdr:nvSpPr>
      <xdr:spPr bwMode="auto">
        <a:xfrm>
          <a:off x="4899660" y="63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304800" cy="304800"/>
    <xdr:sp macro="" textlink="">
      <xdr:nvSpPr>
        <xdr:cNvPr id="6" name="AutoShape 1" descr="Gimnasio Logo PNG ,dibujos Clipart Muscular, Logo Icons, Iconos De Gimnasio  PNG y Vector para Descargar Gratis | Pngtree">
          <a:extLst>
            <a:ext uri="{FF2B5EF4-FFF2-40B4-BE49-F238E27FC236}">
              <a16:creationId xmlns:a16="http://schemas.microsoft.com/office/drawing/2014/main" id="{F05E5FDD-3383-4386-B60B-70399761835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304800" cy="304800"/>
    <xdr:sp macro="" textlink="">
      <xdr:nvSpPr>
        <xdr:cNvPr id="7" name="AutoShape 2" descr="Gimnasio Logo PNG ,dibujos Clipart Muscular, Logo Icons, Iconos De Gimnasio  PNG y Vector para Descargar Gratis | Pngtree">
          <a:extLst>
            <a:ext uri="{FF2B5EF4-FFF2-40B4-BE49-F238E27FC236}">
              <a16:creationId xmlns:a16="http://schemas.microsoft.com/office/drawing/2014/main" id="{D5079E9A-1B36-40A7-9F12-83EDB556BD2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304800" cy="304800"/>
    <xdr:sp macro="" textlink="">
      <xdr:nvSpPr>
        <xdr:cNvPr id="8" name="AutoShape 1" descr="Gimnasio Logo PNG ,dibujos Clipart Muscular, Logo Icons, Iconos De Gimnasio  PNG y Vector para Descargar Gratis | Pngtree">
          <a:extLst>
            <a:ext uri="{FF2B5EF4-FFF2-40B4-BE49-F238E27FC236}">
              <a16:creationId xmlns:a16="http://schemas.microsoft.com/office/drawing/2014/main" id="{E93900EC-BEA8-4585-ADEA-13F42658CF7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304800" cy="304800"/>
    <xdr:sp macro="" textlink="">
      <xdr:nvSpPr>
        <xdr:cNvPr id="9" name="AutoShape 2" descr="Gimnasio Logo PNG ,dibujos Clipart Muscular, Logo Icons, Iconos De Gimnasio  PNG y Vector para Descargar Gratis | Pngtree">
          <a:extLst>
            <a:ext uri="{FF2B5EF4-FFF2-40B4-BE49-F238E27FC236}">
              <a16:creationId xmlns:a16="http://schemas.microsoft.com/office/drawing/2014/main" id="{941478DD-442C-4827-A3E5-332EEECF54E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304800" cy="304800"/>
    <xdr:sp macro="" textlink="">
      <xdr:nvSpPr>
        <xdr:cNvPr id="10" name="AutoShape 1" descr="Gimnasio Logo PNG ,dibujos Clipart Muscular, Logo Icons, Iconos De Gimnasio  PNG y Vector para Descargar Gratis | Pngtree">
          <a:extLst>
            <a:ext uri="{FF2B5EF4-FFF2-40B4-BE49-F238E27FC236}">
              <a16:creationId xmlns:a16="http://schemas.microsoft.com/office/drawing/2014/main" id="{A943278F-8C82-4DD6-9565-78554C79D71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304800" cy="304800"/>
    <xdr:sp macro="" textlink="">
      <xdr:nvSpPr>
        <xdr:cNvPr id="11" name="AutoShape 2" descr="Gimnasio Logo PNG ,dibujos Clipart Muscular, Logo Icons, Iconos De Gimnasio  PNG y Vector para Descargar Gratis | Pngtree">
          <a:extLst>
            <a:ext uri="{FF2B5EF4-FFF2-40B4-BE49-F238E27FC236}">
              <a16:creationId xmlns:a16="http://schemas.microsoft.com/office/drawing/2014/main" id="{399354C1-7471-4255-A740-96017583182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304800" cy="304800"/>
    <xdr:sp macro="" textlink="">
      <xdr:nvSpPr>
        <xdr:cNvPr id="12" name="AutoShape 1" descr="Gimnasio Logo PNG ,dibujos Clipart Muscular, Logo Icons, Iconos De Gimnasio  PNG y Vector para Descargar Gratis | Pngtree">
          <a:extLst>
            <a:ext uri="{FF2B5EF4-FFF2-40B4-BE49-F238E27FC236}">
              <a16:creationId xmlns:a16="http://schemas.microsoft.com/office/drawing/2014/main" id="{336D77D7-CA97-48F4-B592-38D029EDA27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22860</xdr:colOff>
      <xdr:row>5</xdr:row>
      <xdr:rowOff>0</xdr:rowOff>
    </xdr:from>
    <xdr:ext cx="304800" cy="304800"/>
    <xdr:sp macro="" textlink="">
      <xdr:nvSpPr>
        <xdr:cNvPr id="13" name="AutoShape 2" descr="Gimnasio Logo PNG ,dibujos Clipart Muscular, Logo Icons, Iconos De Gimnasio  PNG y Vector para Descargar Gratis | Pngtree">
          <a:extLst>
            <a:ext uri="{FF2B5EF4-FFF2-40B4-BE49-F238E27FC236}">
              <a16:creationId xmlns:a16="http://schemas.microsoft.com/office/drawing/2014/main" id="{9C0C5F69-B3EC-49FA-837B-616D107A060A}"/>
            </a:ext>
          </a:extLst>
        </xdr:cNvPr>
        <xdr:cNvSpPr>
          <a:spLocks noChangeAspect="1" noChangeArrowheads="1"/>
        </xdr:cNvSpPr>
      </xdr:nvSpPr>
      <xdr:spPr bwMode="auto">
        <a:xfrm>
          <a:off x="228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304800" cy="304800"/>
    <xdr:sp macro="" textlink="">
      <xdr:nvSpPr>
        <xdr:cNvPr id="14" name="AutoShape 1" descr="Gimnasio Logo PNG ,dibujos Clipart Muscular, Logo Icons, Iconos De Gimnasio  PNG y Vector para Descargar Gratis | Pngtree">
          <a:extLst>
            <a:ext uri="{FF2B5EF4-FFF2-40B4-BE49-F238E27FC236}">
              <a16:creationId xmlns:a16="http://schemas.microsoft.com/office/drawing/2014/main" id="{EE416761-CC18-4782-9311-34D82E2FDD8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304800" cy="304800"/>
    <xdr:sp macro="" textlink="">
      <xdr:nvSpPr>
        <xdr:cNvPr id="15" name="AutoShape 2" descr="Gimnasio Logo PNG ,dibujos Clipart Muscular, Logo Icons, Iconos De Gimnasio  PNG y Vector para Descargar Gratis | Pngtree">
          <a:extLst>
            <a:ext uri="{FF2B5EF4-FFF2-40B4-BE49-F238E27FC236}">
              <a16:creationId xmlns:a16="http://schemas.microsoft.com/office/drawing/2014/main" id="{C8CE8660-27DF-441C-AC8C-9BDF00F507D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</xdr:row>
      <xdr:rowOff>0</xdr:rowOff>
    </xdr:from>
    <xdr:ext cx="304800" cy="304800"/>
    <xdr:sp macro="" textlink="">
      <xdr:nvSpPr>
        <xdr:cNvPr id="16" name="AutoShape 1" descr="Gimnasio Logo PNG ,dibujos Clipart Muscular, Logo Icons, Iconos De Gimnasio  PNG y Vector para Descargar Gratis | Pngtree">
          <a:extLst>
            <a:ext uri="{FF2B5EF4-FFF2-40B4-BE49-F238E27FC236}">
              <a16:creationId xmlns:a16="http://schemas.microsoft.com/office/drawing/2014/main" id="{BB0854DB-FCD8-4C99-B624-AC600BD53E8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</xdr:row>
      <xdr:rowOff>0</xdr:rowOff>
    </xdr:from>
    <xdr:ext cx="304800" cy="304800"/>
    <xdr:sp macro="" textlink="">
      <xdr:nvSpPr>
        <xdr:cNvPr id="17" name="AutoShape 2" descr="Gimnasio Logo PNG ,dibujos Clipart Muscular, Logo Icons, Iconos De Gimnasio  PNG y Vector para Descargar Gratis | Pngtree">
          <a:extLst>
            <a:ext uri="{FF2B5EF4-FFF2-40B4-BE49-F238E27FC236}">
              <a16:creationId xmlns:a16="http://schemas.microsoft.com/office/drawing/2014/main" id="{1202AE7B-D100-45DD-9DCB-29D9DE25E60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304800" cy="304800"/>
    <xdr:sp macro="" textlink="">
      <xdr:nvSpPr>
        <xdr:cNvPr id="18" name="AutoShape 1" descr="Gimnasio Logo PNG ,dibujos Clipart Muscular, Logo Icons, Iconos De Gimnasio  PNG y Vector para Descargar Gratis | Pngtree">
          <a:extLst>
            <a:ext uri="{FF2B5EF4-FFF2-40B4-BE49-F238E27FC236}">
              <a16:creationId xmlns:a16="http://schemas.microsoft.com/office/drawing/2014/main" id="{144F1A23-31C4-4B2E-B6EE-73CACC0A53A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304800" cy="304800"/>
    <xdr:sp macro="" textlink="">
      <xdr:nvSpPr>
        <xdr:cNvPr id="19" name="AutoShape 2" descr="Gimnasio Logo PNG ,dibujos Clipart Muscular, Logo Icons, Iconos De Gimnasio  PNG y Vector para Descargar Gratis | Pngtree">
          <a:extLst>
            <a:ext uri="{FF2B5EF4-FFF2-40B4-BE49-F238E27FC236}">
              <a16:creationId xmlns:a16="http://schemas.microsoft.com/office/drawing/2014/main" id="{15719618-1AAF-45EF-B436-F7476ACE829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6</xdr:row>
      <xdr:rowOff>175260</xdr:rowOff>
    </xdr:to>
    <xdr:pic>
      <xdr:nvPicPr>
        <xdr:cNvPr id="20" name="Imagen 19" descr="Gimnasio Logo PNG ,dibujos Clipart Muscular, Logo Icons, Iconos De Gimnasio  PNG y Vector para Descargar Gratis | Pngtree">
          <a:extLst>
            <a:ext uri="{FF2B5EF4-FFF2-40B4-BE49-F238E27FC236}">
              <a16:creationId xmlns:a16="http://schemas.microsoft.com/office/drawing/2014/main" id="{9B754722-78CD-4855-BC7A-7445B8645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4960" cy="1272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175260</xdr:colOff>
      <xdr:row>1</xdr:row>
      <xdr:rowOff>83820</xdr:rowOff>
    </xdr:from>
    <xdr:to>
      <xdr:col>11</xdr:col>
      <xdr:colOff>784860</xdr:colOff>
      <xdr:row>16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3C70638-2842-4A2B-8261-E9C5653D1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5CDB41-3E21-406E-84F7-1FFF8912C640}" name="Tabla_Clientes" displayName="Tabla_Clientes" ref="A1:H11" totalsRowShown="0">
  <autoFilter ref="A1:H11" xr:uid="{AC25CC6D-0BAF-479F-B8D9-999F51A8401D}"/>
  <tableColumns count="8">
    <tableColumn id="1" xr3:uid="{37B79BE8-C0D3-43ED-8F57-B202BDD97D14}" name="Cedula"/>
    <tableColumn id="2" xr3:uid="{9D5BDED0-2E87-4433-82DC-A32C540A6C00}" name="Nombre"/>
    <tableColumn id="3" xr3:uid="{F71FFF60-38FE-42B6-B660-2FAEA6CE1C4B}" name="Apellido"/>
    <tableColumn id="4" xr3:uid="{BAAC8C8A-7DFC-43B7-AE85-FD52B28794CB}" name="Direccion"/>
    <tableColumn id="5" xr3:uid="{E88B6161-09C3-4A51-9180-E74289841839}" name="Celular"/>
    <tableColumn id="6" xr3:uid="{0A78F07F-9D57-4CE1-8C83-20293DF58DEF}" name="Email" dataCellStyle="Hipervínculo"/>
    <tableColumn id="7" xr3:uid="{A6E0DDE5-634E-4B6F-974C-5E2E3C7A6542}" name="Contacto Emergencia"/>
    <tableColumn id="8" xr3:uid="{B6E72EC7-45C8-4A45-A629-6351FDCD1280}" name="Telefono Emerge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56812B-AFFB-40FE-8204-2C0CFF6255C4}" name="Tabla_Entrenadores" displayName="Tabla_Entrenadores" ref="A1:F11" totalsRowShown="0">
  <autoFilter ref="A1:F11" xr:uid="{873FDA95-9031-474C-85E4-7A213E901018}"/>
  <tableColumns count="6">
    <tableColumn id="1" xr3:uid="{A82E3EDB-349C-4F3C-9C82-413C00771862}" name="id_coah"/>
    <tableColumn id="2" xr3:uid="{606FA7A9-B430-4CC3-98D8-059320B9E050}" name="cedula"/>
    <tableColumn id="3" xr3:uid="{99668A7D-1134-408C-A98E-47C3BA1DC8A5}" name="nombre"/>
    <tableColumn id="4" xr3:uid="{3B4070B3-4692-440B-8C57-C6DBBC7A739B}" name="apellido" dataDxfId="3"/>
    <tableColumn id="5" xr3:uid="{AC53DCF8-B64D-483F-9985-D54A362CA63B}" name="direccion" dataDxfId="2"/>
    <tableColumn id="6" xr3:uid="{B14F3EF6-3D32-4CBC-A95A-43EC649438CC}" name="costo hor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B65B31-443C-4ACC-A749-9F9D80E48623}" name="Tabla_Membresias" displayName="Tabla_Membresias" ref="A1:D11" totalsRowShown="0">
  <autoFilter ref="A1:D11" xr:uid="{EF3D3A0B-F037-43E3-928A-5FB3AAED4E1A}"/>
  <tableColumns count="4">
    <tableColumn id="1" xr3:uid="{6ACB188E-03C4-4A74-8D00-A87091197A7D}" name="Codigo"/>
    <tableColumn id="2" xr3:uid="{C533034A-9E4C-4830-B7E4-D8443AFE467B}" name="Tipo de plan"/>
    <tableColumn id="3" xr3:uid="{8C63C3DD-721B-4041-8074-4CD91135CC65}" name="Duracion"/>
    <tableColumn id="4" xr3:uid="{B7068035-6647-4E16-BE7A-6BEEB5C38499}" name="Tarif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7BB6CB-D82C-4283-B7A4-7497FF669A91}" name="Tabla_ventas" displayName="Tabla_ventas" ref="A1:E10" totalsRowShown="0">
  <autoFilter ref="A1:E10" xr:uid="{2D9075A1-288E-4561-B5A3-60C6B84EA93A}"/>
  <tableColumns count="5">
    <tableColumn id="1" xr3:uid="{490947CB-E67B-4F9C-89DE-A71AFA1CCC13}" name="Fecha" dataDxfId="1"/>
    <tableColumn id="2" xr3:uid="{D5D364A1-5EDB-4033-B283-CFDB70BD3944}" name="Cedula Cliente"/>
    <tableColumn id="3" xr3:uid="{189AC16F-7CEA-4E97-AEFB-06A2F56B4278}" name="Codigo Plan"/>
    <tableColumn id="4" xr3:uid="{93DB4F0C-9D9A-43C0-AE45-19FDEE63590D}" name="Id Coah"/>
    <tableColumn id="5" xr3:uid="{2014F049-BE31-458C-AD38-595D27D26712}" name="Valor de Vent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abiel@email.com" TargetMode="External"/><Relationship Id="rId3" Type="http://schemas.openxmlformats.org/officeDocument/2006/relationships/hyperlink" Target="mailto:valeria@email.com" TargetMode="External"/><Relationship Id="rId7" Type="http://schemas.openxmlformats.org/officeDocument/2006/relationships/hyperlink" Target="mailto:sofia@email.com" TargetMode="External"/><Relationship Id="rId2" Type="http://schemas.openxmlformats.org/officeDocument/2006/relationships/hyperlink" Target="mailto:diana@email.com" TargetMode="External"/><Relationship Id="rId1" Type="http://schemas.openxmlformats.org/officeDocument/2006/relationships/hyperlink" Target="mailto:carlos@email.com" TargetMode="External"/><Relationship Id="rId6" Type="http://schemas.openxmlformats.org/officeDocument/2006/relationships/hyperlink" Target="mailto:jorge@email.com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martha@email.com" TargetMode="External"/><Relationship Id="rId10" Type="http://schemas.openxmlformats.org/officeDocument/2006/relationships/hyperlink" Target="mailto:laura@email.com" TargetMode="External"/><Relationship Id="rId4" Type="http://schemas.openxmlformats.org/officeDocument/2006/relationships/hyperlink" Target="mailto:andres@email.com" TargetMode="External"/><Relationship Id="rId9" Type="http://schemas.openxmlformats.org/officeDocument/2006/relationships/hyperlink" Target="mailto:ricardo@e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7CCA-9957-49A9-BB62-B5B93A926D22}">
  <sheetPr>
    <tabColor theme="9" tint="-0.499984740745262"/>
  </sheetPr>
  <dimension ref="A1:D7"/>
  <sheetViews>
    <sheetView workbookViewId="0">
      <selection activeCell="E8" sqref="E8"/>
    </sheetView>
  </sheetViews>
  <sheetFormatPr baseColWidth="10" defaultRowHeight="14.4" x14ac:dyDescent="0.3"/>
  <cols>
    <col min="3" max="3" width="22" customWidth="1"/>
  </cols>
  <sheetData>
    <row r="1" spans="1:4" x14ac:dyDescent="0.3">
      <c r="A1" t="s">
        <v>0</v>
      </c>
      <c r="B1" t="s">
        <v>2</v>
      </c>
      <c r="C1" t="s">
        <v>1</v>
      </c>
    </row>
    <row r="2" spans="1:4" x14ac:dyDescent="0.3">
      <c r="A2">
        <v>1</v>
      </c>
      <c r="B2" t="s">
        <v>3</v>
      </c>
      <c r="C2" s="1" t="s">
        <v>4</v>
      </c>
    </row>
    <row r="4" spans="1:4" x14ac:dyDescent="0.3">
      <c r="D4" s="1"/>
    </row>
    <row r="7" spans="1:4" x14ac:dyDescent="0.3">
      <c r="D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E7D07-AB84-4A4A-B0DA-F1BF806269F6}">
  <sheetPr>
    <tabColor theme="8" tint="-0.499984740745262"/>
  </sheetPr>
  <dimension ref="A1:H11"/>
  <sheetViews>
    <sheetView workbookViewId="0">
      <selection activeCell="H11" sqref="H11"/>
    </sheetView>
  </sheetViews>
  <sheetFormatPr baseColWidth="10" defaultRowHeight="14.4" x14ac:dyDescent="0.3"/>
  <cols>
    <col min="6" max="6" width="17.44140625" customWidth="1"/>
    <col min="7" max="7" width="20.77734375" customWidth="1"/>
    <col min="8" max="8" width="20.5546875" customWidth="1"/>
  </cols>
  <sheetData>
    <row r="1" spans="1:8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53</v>
      </c>
    </row>
    <row r="2" spans="1:8" x14ac:dyDescent="0.3">
      <c r="A2">
        <v>102001</v>
      </c>
      <c r="B2" t="s">
        <v>12</v>
      </c>
      <c r="C2" t="s">
        <v>13</v>
      </c>
      <c r="D2" t="s">
        <v>16</v>
      </c>
      <c r="E2">
        <v>310450121</v>
      </c>
      <c r="F2" s="2" t="s">
        <v>42</v>
      </c>
      <c r="G2" t="s">
        <v>52</v>
      </c>
      <c r="H2">
        <v>311450120</v>
      </c>
    </row>
    <row r="3" spans="1:8" x14ac:dyDescent="0.3">
      <c r="A3">
        <v>102002</v>
      </c>
      <c r="B3" t="s">
        <v>14</v>
      </c>
      <c r="C3" t="s">
        <v>27</v>
      </c>
      <c r="D3" t="s">
        <v>17</v>
      </c>
      <c r="E3">
        <v>310450122</v>
      </c>
      <c r="F3" s="2" t="s">
        <v>43</v>
      </c>
      <c r="G3" t="s">
        <v>54</v>
      </c>
      <c r="H3">
        <v>311450121</v>
      </c>
    </row>
    <row r="4" spans="1:8" x14ac:dyDescent="0.3">
      <c r="A4">
        <v>102003</v>
      </c>
      <c r="B4" t="s">
        <v>15</v>
      </c>
      <c r="C4" t="s">
        <v>25</v>
      </c>
      <c r="D4" t="s">
        <v>18</v>
      </c>
      <c r="E4">
        <v>310450123</v>
      </c>
      <c r="F4" s="2" t="s">
        <v>44</v>
      </c>
      <c r="G4" t="s">
        <v>55</v>
      </c>
      <c r="H4">
        <v>311450122</v>
      </c>
    </row>
    <row r="5" spans="1:8" x14ac:dyDescent="0.3">
      <c r="A5">
        <v>102004</v>
      </c>
      <c r="B5" t="s">
        <v>33</v>
      </c>
      <c r="C5" t="s">
        <v>28</v>
      </c>
      <c r="D5" t="s">
        <v>19</v>
      </c>
      <c r="E5">
        <v>310450124</v>
      </c>
      <c r="F5" s="2" t="s">
        <v>46</v>
      </c>
      <c r="G5" t="s">
        <v>56</v>
      </c>
      <c r="H5">
        <v>311450123</v>
      </c>
    </row>
    <row r="6" spans="1:8" x14ac:dyDescent="0.3">
      <c r="A6">
        <v>102005</v>
      </c>
      <c r="B6" t="s">
        <v>34</v>
      </c>
      <c r="C6" t="s">
        <v>29</v>
      </c>
      <c r="D6" t="s">
        <v>20</v>
      </c>
      <c r="E6">
        <v>310450125</v>
      </c>
      <c r="F6" s="2" t="s">
        <v>47</v>
      </c>
      <c r="G6" t="s">
        <v>57</v>
      </c>
      <c r="H6">
        <v>311450124</v>
      </c>
    </row>
    <row r="7" spans="1:8" x14ac:dyDescent="0.3">
      <c r="A7">
        <v>102006</v>
      </c>
      <c r="B7" t="s">
        <v>35</v>
      </c>
      <c r="C7" t="s">
        <v>30</v>
      </c>
      <c r="D7" t="s">
        <v>21</v>
      </c>
      <c r="E7">
        <v>310450126</v>
      </c>
      <c r="F7" s="2" t="s">
        <v>48</v>
      </c>
      <c r="G7" t="s">
        <v>58</v>
      </c>
      <c r="H7">
        <v>311450125</v>
      </c>
    </row>
    <row r="8" spans="1:8" x14ac:dyDescent="0.3">
      <c r="A8">
        <v>102007</v>
      </c>
      <c r="B8" t="s">
        <v>36</v>
      </c>
      <c r="C8" t="s">
        <v>26</v>
      </c>
      <c r="D8" t="s">
        <v>22</v>
      </c>
      <c r="E8">
        <v>310450127</v>
      </c>
      <c r="F8" s="2" t="s">
        <v>49</v>
      </c>
      <c r="G8" t="s">
        <v>59</v>
      </c>
      <c r="H8">
        <v>311450126</v>
      </c>
    </row>
    <row r="9" spans="1:8" x14ac:dyDescent="0.3">
      <c r="A9">
        <v>102008</v>
      </c>
      <c r="B9" t="s">
        <v>37</v>
      </c>
      <c r="C9" t="s">
        <v>31</v>
      </c>
      <c r="D9" t="s">
        <v>23</v>
      </c>
      <c r="E9">
        <v>310450128</v>
      </c>
      <c r="F9" s="2" t="s">
        <v>50</v>
      </c>
      <c r="G9" t="s">
        <v>60</v>
      </c>
      <c r="H9">
        <v>311450127</v>
      </c>
    </row>
    <row r="10" spans="1:8" x14ac:dyDescent="0.3">
      <c r="A10">
        <v>102009</v>
      </c>
      <c r="B10" t="s">
        <v>38</v>
      </c>
      <c r="C10" t="s">
        <v>32</v>
      </c>
      <c r="D10" t="s">
        <v>24</v>
      </c>
      <c r="E10">
        <v>310450129</v>
      </c>
      <c r="F10" s="2" t="s">
        <v>51</v>
      </c>
      <c r="G10" t="s">
        <v>61</v>
      </c>
      <c r="H10">
        <v>311450128</v>
      </c>
    </row>
    <row r="11" spans="1:8" x14ac:dyDescent="0.3">
      <c r="A11">
        <v>1020010</v>
      </c>
      <c r="B11" t="s">
        <v>39</v>
      </c>
      <c r="C11" t="s">
        <v>40</v>
      </c>
      <c r="D11" t="s">
        <v>41</v>
      </c>
      <c r="E11">
        <v>310450120</v>
      </c>
      <c r="F11" s="2" t="s">
        <v>45</v>
      </c>
      <c r="G11" t="s">
        <v>62</v>
      </c>
      <c r="H11">
        <v>311450129</v>
      </c>
    </row>
  </sheetData>
  <hyperlinks>
    <hyperlink ref="F2" r:id="rId1" xr:uid="{BDC47489-2ADE-42EA-B7AB-BACAA092C612}"/>
    <hyperlink ref="F3" r:id="rId2" xr:uid="{861F0794-22A1-414D-9DF7-6DE142F81728}"/>
    <hyperlink ref="F9" r:id="rId3" xr:uid="{11DA7E4F-9EC8-41FB-BF50-97747C68390E}"/>
    <hyperlink ref="F4" r:id="rId4" xr:uid="{91D2E669-316E-46F6-8038-69887B070B34}"/>
    <hyperlink ref="F5" r:id="rId5" xr:uid="{8EA4EA09-ADEE-48F7-A26A-F7AB928389E3}"/>
    <hyperlink ref="F6" r:id="rId6" xr:uid="{6DD962B2-AC4B-4C57-89C2-FCC771501A71}"/>
    <hyperlink ref="F7" r:id="rId7" xr:uid="{45AEA5A8-6BA6-4569-839A-842585C9D7DF}"/>
    <hyperlink ref="F8" r:id="rId8" xr:uid="{495EFFBA-469D-480B-AC05-F57BA727E210}"/>
    <hyperlink ref="F10" r:id="rId9" xr:uid="{4AA800E9-E5DD-4236-A9B0-C411B7A5D774}"/>
    <hyperlink ref="F11" r:id="rId10" xr:uid="{7E2013BF-50B2-4097-9A31-5E7DE36D7C03}"/>
  </hyperlinks>
  <pageMargins left="0.7" right="0.7" top="0.75" bottom="0.75" header="0.3" footer="0.3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B6691-1BFF-4BB0-8ACC-84C02FFAC54F}">
  <sheetPr>
    <tabColor theme="7" tint="-0.499984740745262"/>
  </sheetPr>
  <dimension ref="A1:F11"/>
  <sheetViews>
    <sheetView tabSelected="1" workbookViewId="0">
      <selection activeCell="E5" sqref="E5"/>
    </sheetView>
  </sheetViews>
  <sheetFormatPr baseColWidth="10" defaultRowHeight="14.4" x14ac:dyDescent="0.3"/>
  <cols>
    <col min="6" max="6" width="11.77734375" customWidth="1"/>
  </cols>
  <sheetData>
    <row r="1" spans="1:6" x14ac:dyDescent="0.3">
      <c r="A1" t="s">
        <v>73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</row>
    <row r="2" spans="1:6" x14ac:dyDescent="0.3">
      <c r="A2" t="s">
        <v>74</v>
      </c>
      <c r="B2">
        <v>71222001</v>
      </c>
      <c r="C2" t="s">
        <v>89</v>
      </c>
      <c r="D2" t="s">
        <v>13</v>
      </c>
      <c r="E2" s="4" t="s">
        <v>16</v>
      </c>
      <c r="F2">
        <v>4500</v>
      </c>
    </row>
    <row r="3" spans="1:6" x14ac:dyDescent="0.3">
      <c r="A3" t="s">
        <v>75</v>
      </c>
      <c r="B3">
        <v>71222002</v>
      </c>
      <c r="C3" t="s">
        <v>90</v>
      </c>
      <c r="D3" t="s">
        <v>99</v>
      </c>
      <c r="E3" s="6" t="s">
        <v>17</v>
      </c>
      <c r="F3">
        <v>4600</v>
      </c>
    </row>
    <row r="4" spans="1:6" x14ac:dyDescent="0.3">
      <c r="A4" t="s">
        <v>76</v>
      </c>
      <c r="B4">
        <v>71222003</v>
      </c>
      <c r="C4" t="s">
        <v>91</v>
      </c>
      <c r="D4" t="s">
        <v>100</v>
      </c>
      <c r="E4" s="4" t="s">
        <v>18</v>
      </c>
      <c r="F4">
        <v>4700</v>
      </c>
    </row>
    <row r="5" spans="1:6" x14ac:dyDescent="0.3">
      <c r="A5" t="s">
        <v>77</v>
      </c>
      <c r="B5">
        <v>71222004</v>
      </c>
      <c r="C5" t="s">
        <v>92</v>
      </c>
      <c r="D5" s="6" t="s">
        <v>28</v>
      </c>
      <c r="E5" s="6" t="s">
        <v>19</v>
      </c>
      <c r="F5">
        <v>4800</v>
      </c>
    </row>
    <row r="6" spans="1:6" x14ac:dyDescent="0.3">
      <c r="A6" t="s">
        <v>78</v>
      </c>
      <c r="B6">
        <v>71222005</v>
      </c>
      <c r="C6" t="s">
        <v>93</v>
      </c>
      <c r="D6" s="4" t="s">
        <v>29</v>
      </c>
      <c r="E6" s="4" t="s">
        <v>20</v>
      </c>
      <c r="F6">
        <v>4900</v>
      </c>
    </row>
    <row r="7" spans="1:6" x14ac:dyDescent="0.3">
      <c r="A7" t="s">
        <v>79</v>
      </c>
      <c r="B7">
        <v>71222006</v>
      </c>
      <c r="C7" t="s">
        <v>94</v>
      </c>
      <c r="D7" s="6" t="s">
        <v>30</v>
      </c>
      <c r="E7" s="6" t="s">
        <v>21</v>
      </c>
      <c r="F7">
        <v>5000</v>
      </c>
    </row>
    <row r="8" spans="1:6" x14ac:dyDescent="0.3">
      <c r="A8" t="s">
        <v>80</v>
      </c>
      <c r="B8">
        <v>71222007</v>
      </c>
      <c r="C8" t="s">
        <v>95</v>
      </c>
      <c r="D8" s="4" t="s">
        <v>26</v>
      </c>
      <c r="E8" s="4" t="s">
        <v>22</v>
      </c>
      <c r="F8">
        <v>5100</v>
      </c>
    </row>
    <row r="9" spans="1:6" x14ac:dyDescent="0.3">
      <c r="A9" t="s">
        <v>81</v>
      </c>
      <c r="B9">
        <v>71222008</v>
      </c>
      <c r="C9" t="s">
        <v>96</v>
      </c>
      <c r="D9" s="6" t="s">
        <v>31</v>
      </c>
      <c r="E9" s="6" t="s">
        <v>23</v>
      </c>
      <c r="F9">
        <v>5200</v>
      </c>
    </row>
    <row r="10" spans="1:6" x14ac:dyDescent="0.3">
      <c r="A10" t="s">
        <v>82</v>
      </c>
      <c r="B10">
        <v>71222009</v>
      </c>
      <c r="C10" t="s">
        <v>97</v>
      </c>
      <c r="D10" s="4" t="s">
        <v>32</v>
      </c>
      <c r="E10" s="4" t="s">
        <v>24</v>
      </c>
      <c r="F10">
        <v>5300</v>
      </c>
    </row>
    <row r="11" spans="1:6" x14ac:dyDescent="0.3">
      <c r="A11" t="s">
        <v>83</v>
      </c>
      <c r="B11">
        <v>71222010</v>
      </c>
      <c r="C11" t="s">
        <v>98</v>
      </c>
      <c r="D11" s="6" t="s">
        <v>40</v>
      </c>
      <c r="E11" s="6" t="s">
        <v>41</v>
      </c>
      <c r="F11">
        <v>5400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399C5-8AB0-45E0-B51A-EABE82F33688}">
  <sheetPr>
    <tabColor theme="6" tint="-0.499984740745262"/>
  </sheetPr>
  <dimension ref="A1:D11"/>
  <sheetViews>
    <sheetView workbookViewId="0">
      <selection activeCell="B3" sqref="B3"/>
    </sheetView>
  </sheetViews>
  <sheetFormatPr baseColWidth="10" defaultRowHeight="14.4" x14ac:dyDescent="0.3"/>
  <cols>
    <col min="2" max="2" width="45.21875" customWidth="1"/>
  </cols>
  <sheetData>
    <row r="1" spans="1:4" x14ac:dyDescent="0.3">
      <c r="A1" t="s">
        <v>107</v>
      </c>
      <c r="B1" t="s">
        <v>123</v>
      </c>
      <c r="C1" t="s">
        <v>155</v>
      </c>
      <c r="D1" t="s">
        <v>156</v>
      </c>
    </row>
    <row r="2" spans="1:4" x14ac:dyDescent="0.3">
      <c r="A2" t="s">
        <v>63</v>
      </c>
      <c r="B2" t="s">
        <v>122</v>
      </c>
      <c r="C2">
        <v>30</v>
      </c>
      <c r="D2">
        <v>85000.53</v>
      </c>
    </row>
    <row r="3" spans="1:4" x14ac:dyDescent="0.3">
      <c r="A3" t="s">
        <v>64</v>
      </c>
      <c r="B3" t="s">
        <v>124</v>
      </c>
      <c r="C3">
        <v>30</v>
      </c>
      <c r="D3">
        <v>125000.85</v>
      </c>
    </row>
    <row r="4" spans="1:4" x14ac:dyDescent="0.3">
      <c r="A4" t="s">
        <v>65</v>
      </c>
      <c r="B4" t="s">
        <v>125</v>
      </c>
      <c r="C4">
        <v>60</v>
      </c>
      <c r="D4">
        <v>65000.42</v>
      </c>
    </row>
    <row r="5" spans="1:4" x14ac:dyDescent="0.3">
      <c r="A5" t="s">
        <v>66</v>
      </c>
      <c r="B5" t="s">
        <v>126</v>
      </c>
      <c r="C5">
        <v>90</v>
      </c>
      <c r="D5">
        <v>580000.74</v>
      </c>
    </row>
    <row r="6" spans="1:4" x14ac:dyDescent="0.3">
      <c r="A6" t="s">
        <v>67</v>
      </c>
      <c r="B6" t="s">
        <v>127</v>
      </c>
      <c r="C6">
        <v>180</v>
      </c>
      <c r="D6">
        <v>990000.95</v>
      </c>
    </row>
    <row r="7" spans="1:4" x14ac:dyDescent="0.3">
      <c r="A7" t="s">
        <v>68</v>
      </c>
      <c r="B7" t="s">
        <v>128</v>
      </c>
      <c r="C7">
        <v>380</v>
      </c>
      <c r="D7">
        <v>75000.22</v>
      </c>
    </row>
    <row r="8" spans="1:4" x14ac:dyDescent="0.3">
      <c r="A8" t="s">
        <v>69</v>
      </c>
      <c r="B8" t="s">
        <v>129</v>
      </c>
      <c r="C8">
        <v>30</v>
      </c>
      <c r="D8">
        <v>60000.11</v>
      </c>
    </row>
    <row r="9" spans="1:4" x14ac:dyDescent="0.3">
      <c r="A9" t="s">
        <v>70</v>
      </c>
      <c r="B9" t="s">
        <v>130</v>
      </c>
      <c r="C9">
        <v>30</v>
      </c>
      <c r="D9">
        <v>55000.38</v>
      </c>
    </row>
    <row r="10" spans="1:4" x14ac:dyDescent="0.3">
      <c r="A10" t="s">
        <v>71</v>
      </c>
      <c r="B10" t="s">
        <v>131</v>
      </c>
      <c r="C10">
        <v>30</v>
      </c>
      <c r="D10">
        <v>32000</v>
      </c>
    </row>
    <row r="11" spans="1:4" x14ac:dyDescent="0.3">
      <c r="A11" t="s">
        <v>72</v>
      </c>
      <c r="B11" t="s">
        <v>154</v>
      </c>
      <c r="C11">
        <v>1</v>
      </c>
      <c r="D11">
        <v>20000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911D1-7A30-4C76-9D70-2C2B9AE4E656}">
  <sheetPr>
    <tabColor theme="5" tint="-0.499984740745262"/>
  </sheetPr>
  <dimension ref="A1:G32"/>
  <sheetViews>
    <sheetView topLeftCell="A31" zoomScaleNormal="100" workbookViewId="0">
      <selection activeCell="C21" sqref="C21"/>
    </sheetView>
  </sheetViews>
  <sheetFormatPr baseColWidth="10" defaultRowHeight="14.4" x14ac:dyDescent="0.3"/>
  <cols>
    <col min="1" max="1" width="11.5546875" customWidth="1"/>
    <col min="4" max="4" width="23.77734375" customWidth="1"/>
    <col min="5" max="5" width="16.109375" customWidth="1"/>
    <col min="6" max="6" width="30.21875" customWidth="1"/>
    <col min="7" max="7" width="11.77734375" bestFit="1" customWidth="1"/>
  </cols>
  <sheetData>
    <row r="1" spans="1:7" x14ac:dyDescent="0.3">
      <c r="A1" s="25"/>
      <c r="B1" s="25"/>
      <c r="C1" s="32" t="s">
        <v>101</v>
      </c>
      <c r="D1" s="32"/>
      <c r="E1" s="32"/>
      <c r="F1" t="s">
        <v>102</v>
      </c>
    </row>
    <row r="2" spans="1:7" x14ac:dyDescent="0.3">
      <c r="A2" s="25"/>
      <c r="B2" s="25"/>
      <c r="C2" s="32"/>
      <c r="D2" s="32"/>
      <c r="E2" s="32"/>
      <c r="F2" s="7" t="s">
        <v>103</v>
      </c>
    </row>
    <row r="3" spans="1:7" x14ac:dyDescent="0.3">
      <c r="A3" s="25"/>
      <c r="B3" s="25"/>
      <c r="C3" s="32"/>
      <c r="D3" s="32"/>
      <c r="E3" s="32"/>
      <c r="F3" s="7" t="s">
        <v>104</v>
      </c>
    </row>
    <row r="4" spans="1:7" x14ac:dyDescent="0.3">
      <c r="A4" s="25"/>
      <c r="B4" s="25"/>
      <c r="C4" s="32"/>
      <c r="D4" s="32"/>
      <c r="E4" s="32"/>
      <c r="F4">
        <v>3101234567</v>
      </c>
    </row>
    <row r="5" spans="1:7" x14ac:dyDescent="0.3">
      <c r="A5" s="25"/>
      <c r="B5" s="25"/>
      <c r="C5" s="32"/>
      <c r="D5" s="32"/>
      <c r="E5" s="32"/>
      <c r="F5" s="7" t="s">
        <v>105</v>
      </c>
    </row>
    <row r="6" spans="1:7" x14ac:dyDescent="0.3">
      <c r="A6" s="25"/>
      <c r="B6" s="25"/>
      <c r="C6" s="32"/>
      <c r="D6" s="32"/>
      <c r="E6" s="32"/>
    </row>
    <row r="7" spans="1:7" x14ac:dyDescent="0.3">
      <c r="A7" s="25"/>
      <c r="B7" s="25"/>
      <c r="C7" s="32"/>
      <c r="D7" s="32"/>
      <c r="E7" s="32"/>
    </row>
    <row r="9" spans="1:7" x14ac:dyDescent="0.3">
      <c r="A9" s="33" t="s">
        <v>106</v>
      </c>
      <c r="B9" s="33"/>
      <c r="C9" s="33"/>
      <c r="E9" s="31" t="s">
        <v>108</v>
      </c>
      <c r="F9" s="31"/>
    </row>
    <row r="10" spans="1:7" x14ac:dyDescent="0.3">
      <c r="A10" s="9" t="s">
        <v>5</v>
      </c>
      <c r="B10" s="28">
        <v>102001</v>
      </c>
      <c r="C10" s="28"/>
      <c r="E10" s="12" t="s">
        <v>109</v>
      </c>
      <c r="F10" s="14">
        <v>1</v>
      </c>
      <c r="G10" s="11"/>
    </row>
    <row r="11" spans="1:7" x14ac:dyDescent="0.3">
      <c r="A11" s="9" t="s">
        <v>6</v>
      </c>
      <c r="B11" s="28" t="str">
        <f>IFERROR(VLOOKUP(B10,Tabla_Clientes[],2,FALSE)&amp;" "&amp;VLOOKUP(B10,Tabla_Clientes[],3,FALSE),"no hay")</f>
        <v>carlos restrepo</v>
      </c>
      <c r="C11" s="28"/>
      <c r="E11" s="13" t="s">
        <v>110</v>
      </c>
      <c r="F11" s="15">
        <f ca="1">TODAY()</f>
        <v>46184</v>
      </c>
    </row>
    <row r="12" spans="1:7" x14ac:dyDescent="0.3">
      <c r="A12" s="9" t="s">
        <v>8</v>
      </c>
      <c r="B12" s="28" t="str">
        <f>VLOOKUP(B10,Tabla_Clientes[],4,FALSE)</f>
        <v>Calle 123</v>
      </c>
      <c r="C12" s="28"/>
      <c r="E12" s="13" t="s">
        <v>111</v>
      </c>
      <c r="F12" s="14" t="s">
        <v>114</v>
      </c>
    </row>
    <row r="13" spans="1:7" x14ac:dyDescent="0.3">
      <c r="A13" s="9" t="s">
        <v>9</v>
      </c>
      <c r="B13" s="29">
        <f>VLOOKUP(B10,Tabla_Clientes[],5,FALSE)</f>
        <v>310450121</v>
      </c>
      <c r="C13" s="30"/>
      <c r="E13" s="13" t="s">
        <v>112</v>
      </c>
      <c r="F13" s="14" t="s">
        <v>74</v>
      </c>
    </row>
    <row r="14" spans="1:7" x14ac:dyDescent="0.3">
      <c r="A14" s="9" t="s">
        <v>10</v>
      </c>
      <c r="B14" s="29" t="str">
        <f>VLOOKUP(B10,Tabla_Clientes[],6,FALSE)</f>
        <v>carlos@email.com</v>
      </c>
      <c r="C14" s="30"/>
      <c r="E14" s="13" t="s">
        <v>113</v>
      </c>
      <c r="F14" s="10" t="s">
        <v>115</v>
      </c>
    </row>
    <row r="16" spans="1:7" x14ac:dyDescent="0.3">
      <c r="A16" s="16" t="s">
        <v>116</v>
      </c>
      <c r="B16" s="8" t="s">
        <v>117</v>
      </c>
      <c r="C16" s="24" t="s">
        <v>118</v>
      </c>
      <c r="D16" s="24"/>
      <c r="E16" s="17" t="s">
        <v>119</v>
      </c>
      <c r="F16" s="8" t="s">
        <v>120</v>
      </c>
      <c r="G16" s="8" t="s">
        <v>121</v>
      </c>
    </row>
    <row r="17" spans="1:7" x14ac:dyDescent="0.3">
      <c r="A17">
        <v>1</v>
      </c>
      <c r="B17" t="s">
        <v>63</v>
      </c>
      <c r="C17" s="25" t="s">
        <v>122</v>
      </c>
      <c r="D17" s="25"/>
      <c r="E17" s="19">
        <v>85000.53</v>
      </c>
      <c r="F17">
        <v>1</v>
      </c>
      <c r="G17" s="19">
        <v>85000.53</v>
      </c>
    </row>
    <row r="29" spans="1:7" x14ac:dyDescent="0.3">
      <c r="D29" s="18"/>
    </row>
    <row r="30" spans="1:7" x14ac:dyDescent="0.3">
      <c r="A30" s="26" t="s">
        <v>132</v>
      </c>
      <c r="B30" s="26"/>
      <c r="C30" s="26"/>
      <c r="D30" s="26"/>
      <c r="E30" t="s">
        <v>133</v>
      </c>
      <c r="F30" s="27">
        <v>85000.53</v>
      </c>
      <c r="G30" s="27"/>
    </row>
    <row r="31" spans="1:7" x14ac:dyDescent="0.3">
      <c r="A31" s="26"/>
      <c r="B31" s="26"/>
      <c r="C31" s="26"/>
      <c r="D31" s="26"/>
      <c r="E31" t="s">
        <v>134</v>
      </c>
      <c r="F31" s="27">
        <v>16150.1</v>
      </c>
      <c r="G31" s="27"/>
    </row>
    <row r="32" spans="1:7" x14ac:dyDescent="0.3">
      <c r="A32" s="26"/>
      <c r="B32" s="26"/>
      <c r="C32" s="26"/>
      <c r="D32" s="26"/>
      <c r="E32" t="s">
        <v>135</v>
      </c>
      <c r="F32" s="27">
        <v>101150.63</v>
      </c>
      <c r="G32" s="27"/>
    </row>
  </sheetData>
  <mergeCells count="15">
    <mergeCell ref="E9:F9"/>
    <mergeCell ref="C1:E7"/>
    <mergeCell ref="A1:B7"/>
    <mergeCell ref="A9:C9"/>
    <mergeCell ref="B10:C10"/>
    <mergeCell ref="B11:C11"/>
    <mergeCell ref="B12:C12"/>
    <mergeCell ref="B13:C13"/>
    <mergeCell ref="B14:C14"/>
    <mergeCell ref="C16:D16"/>
    <mergeCell ref="C17:D17"/>
    <mergeCell ref="A30:D32"/>
    <mergeCell ref="F30:G30"/>
    <mergeCell ref="F31:G31"/>
    <mergeCell ref="F32:G3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7A928-C18D-4566-8CAE-1B4D21AB9FB4}">
  <dimension ref="A1:E10"/>
  <sheetViews>
    <sheetView workbookViewId="0">
      <selection activeCell="E2" sqref="E2"/>
    </sheetView>
  </sheetViews>
  <sheetFormatPr baseColWidth="10" defaultRowHeight="14.4" x14ac:dyDescent="0.3"/>
  <cols>
    <col min="2" max="2" width="14.88671875" customWidth="1"/>
    <col min="3" max="3" width="12.88671875" customWidth="1"/>
    <col min="5" max="5" width="15.33203125" customWidth="1"/>
  </cols>
  <sheetData>
    <row r="1" spans="1:5" x14ac:dyDescent="0.3">
      <c r="A1" t="s">
        <v>110</v>
      </c>
      <c r="B1" t="s">
        <v>136</v>
      </c>
      <c r="C1" t="s">
        <v>137</v>
      </c>
      <c r="D1" t="s">
        <v>138</v>
      </c>
      <c r="E1" t="s">
        <v>139</v>
      </c>
    </row>
    <row r="2" spans="1:5" x14ac:dyDescent="0.3">
      <c r="A2" s="20">
        <v>45662</v>
      </c>
      <c r="B2">
        <v>102001</v>
      </c>
      <c r="C2" t="s">
        <v>63</v>
      </c>
      <c r="D2" s="3" t="s">
        <v>74</v>
      </c>
      <c r="E2" s="22">
        <v>1250001</v>
      </c>
    </row>
    <row r="3" spans="1:5" x14ac:dyDescent="0.3">
      <c r="A3" s="20">
        <v>45669</v>
      </c>
      <c r="B3">
        <v>102002</v>
      </c>
      <c r="C3" t="s">
        <v>64</v>
      </c>
      <c r="D3" s="5" t="s">
        <v>75</v>
      </c>
      <c r="E3" s="22">
        <v>1250002</v>
      </c>
    </row>
    <row r="4" spans="1:5" x14ac:dyDescent="0.3">
      <c r="A4" s="20">
        <v>45670</v>
      </c>
      <c r="B4">
        <v>102003</v>
      </c>
      <c r="C4" t="s">
        <v>65</v>
      </c>
      <c r="D4" s="3" t="s">
        <v>76</v>
      </c>
      <c r="E4" s="22">
        <v>1250003</v>
      </c>
    </row>
    <row r="5" spans="1:5" x14ac:dyDescent="0.3">
      <c r="A5" s="20">
        <v>45671</v>
      </c>
      <c r="B5">
        <v>102004</v>
      </c>
      <c r="C5" t="s">
        <v>66</v>
      </c>
      <c r="D5" s="5" t="s">
        <v>77</v>
      </c>
      <c r="E5" s="22">
        <v>1250004</v>
      </c>
    </row>
    <row r="6" spans="1:5" x14ac:dyDescent="0.3">
      <c r="A6" s="20">
        <v>45672</v>
      </c>
      <c r="B6">
        <v>102005</v>
      </c>
      <c r="C6" t="s">
        <v>67</v>
      </c>
      <c r="D6" s="3" t="s">
        <v>78</v>
      </c>
      <c r="E6" s="22">
        <v>1250005</v>
      </c>
    </row>
    <row r="7" spans="1:5" x14ac:dyDescent="0.3">
      <c r="A7" s="20">
        <v>45673</v>
      </c>
      <c r="B7">
        <v>102007</v>
      </c>
      <c r="C7" t="s">
        <v>68</v>
      </c>
      <c r="D7" s="5" t="s">
        <v>79</v>
      </c>
      <c r="E7" s="22">
        <v>1250006</v>
      </c>
    </row>
    <row r="8" spans="1:5" x14ac:dyDescent="0.3">
      <c r="A8" s="20">
        <v>45674</v>
      </c>
      <c r="B8">
        <v>102008</v>
      </c>
      <c r="C8" t="s">
        <v>69</v>
      </c>
      <c r="D8" s="3" t="s">
        <v>80</v>
      </c>
      <c r="E8" s="22">
        <v>1250007</v>
      </c>
    </row>
    <row r="9" spans="1:5" x14ac:dyDescent="0.3">
      <c r="A9" s="20">
        <v>45675</v>
      </c>
      <c r="B9">
        <v>102009</v>
      </c>
      <c r="C9" t="s">
        <v>70</v>
      </c>
      <c r="D9" s="5" t="s">
        <v>81</v>
      </c>
      <c r="E9" s="22">
        <v>1250008</v>
      </c>
    </row>
    <row r="10" spans="1:5" x14ac:dyDescent="0.3">
      <c r="A10" s="20">
        <v>45676</v>
      </c>
      <c r="B10">
        <v>1020010</v>
      </c>
      <c r="C10" t="s">
        <v>71</v>
      </c>
      <c r="D10" s="21" t="s">
        <v>82</v>
      </c>
      <c r="E10" s="22">
        <v>1250009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176B1-038C-4E63-8C7A-69DEB3960292}">
  <dimension ref="A1:F12"/>
  <sheetViews>
    <sheetView workbookViewId="0">
      <selection activeCell="E15" sqref="E15"/>
    </sheetView>
  </sheetViews>
  <sheetFormatPr baseColWidth="10" defaultRowHeight="14.4" x14ac:dyDescent="0.3"/>
  <cols>
    <col min="1" max="1" width="11.5546875" customWidth="1"/>
  </cols>
  <sheetData>
    <row r="1" spans="1:6" x14ac:dyDescent="0.3">
      <c r="A1" s="41" t="s">
        <v>140</v>
      </c>
      <c r="B1" s="41"/>
      <c r="C1" s="41"/>
      <c r="D1" s="41"/>
      <c r="E1" s="41"/>
      <c r="F1" s="23"/>
    </row>
    <row r="2" spans="1:6" x14ac:dyDescent="0.3">
      <c r="A2" s="39" t="s">
        <v>112</v>
      </c>
      <c r="B2" s="39"/>
      <c r="C2" s="40" t="s">
        <v>141</v>
      </c>
      <c r="D2" s="40"/>
      <c r="E2" s="40" t="s">
        <v>142</v>
      </c>
      <c r="F2" s="40"/>
    </row>
    <row r="3" spans="1:6" x14ac:dyDescent="0.3">
      <c r="A3" s="38" t="s">
        <v>74</v>
      </c>
      <c r="B3" s="36"/>
      <c r="C3" s="36" t="s">
        <v>143</v>
      </c>
      <c r="D3" s="36"/>
      <c r="E3" s="34">
        <v>1115001.74</v>
      </c>
      <c r="F3" s="34"/>
    </row>
    <row r="4" spans="1:6" x14ac:dyDescent="0.3">
      <c r="A4" s="37" t="s">
        <v>75</v>
      </c>
      <c r="B4" s="35"/>
      <c r="C4" s="35" t="s">
        <v>144</v>
      </c>
      <c r="D4" s="35"/>
      <c r="E4" s="34" t="s">
        <v>153</v>
      </c>
      <c r="F4" s="34"/>
    </row>
    <row r="5" spans="1:6" x14ac:dyDescent="0.3">
      <c r="A5" s="38" t="s">
        <v>76</v>
      </c>
      <c r="B5" s="36"/>
      <c r="C5" s="36" t="s">
        <v>145</v>
      </c>
      <c r="D5" s="36"/>
      <c r="E5" s="34">
        <v>870000.44</v>
      </c>
      <c r="F5" s="34"/>
    </row>
    <row r="6" spans="1:6" x14ac:dyDescent="0.3">
      <c r="A6" s="37" t="s">
        <v>77</v>
      </c>
      <c r="B6" s="35"/>
      <c r="C6" s="35" t="s">
        <v>146</v>
      </c>
      <c r="D6" s="35"/>
      <c r="E6" s="34">
        <v>790000.25</v>
      </c>
      <c r="F6" s="34"/>
    </row>
    <row r="7" spans="1:6" x14ac:dyDescent="0.3">
      <c r="A7" s="38" t="s">
        <v>78</v>
      </c>
      <c r="B7" s="36"/>
      <c r="C7" s="36" t="s">
        <v>147</v>
      </c>
      <c r="D7" s="36"/>
      <c r="E7" s="34">
        <v>63000.12</v>
      </c>
      <c r="F7" s="34"/>
    </row>
    <row r="8" spans="1:6" x14ac:dyDescent="0.3">
      <c r="A8" s="37" t="s">
        <v>79</v>
      </c>
      <c r="B8" s="35"/>
      <c r="C8" s="35" t="s">
        <v>148</v>
      </c>
      <c r="D8" s="35"/>
      <c r="E8" s="34">
        <v>0</v>
      </c>
      <c r="F8" s="34"/>
    </row>
    <row r="9" spans="1:6" x14ac:dyDescent="0.3">
      <c r="A9" s="38" t="s">
        <v>80</v>
      </c>
      <c r="B9" s="36"/>
      <c r="C9" s="36" t="s">
        <v>149</v>
      </c>
      <c r="D9" s="36"/>
      <c r="E9" s="34">
        <v>0</v>
      </c>
      <c r="F9" s="34"/>
    </row>
    <row r="10" spans="1:6" x14ac:dyDescent="0.3">
      <c r="A10" s="37" t="s">
        <v>81</v>
      </c>
      <c r="B10" s="35"/>
      <c r="C10" s="35" t="s">
        <v>150</v>
      </c>
      <c r="D10" s="35"/>
      <c r="E10" s="34">
        <v>85000.78</v>
      </c>
      <c r="F10" s="34"/>
    </row>
    <row r="11" spans="1:6" x14ac:dyDescent="0.3">
      <c r="A11" s="38" t="s">
        <v>82</v>
      </c>
      <c r="B11" s="36"/>
      <c r="C11" s="36" t="s">
        <v>151</v>
      </c>
      <c r="D11" s="36"/>
      <c r="E11" s="34">
        <v>0</v>
      </c>
      <c r="F11" s="34"/>
    </row>
    <row r="12" spans="1:6" x14ac:dyDescent="0.3">
      <c r="A12" s="37" t="s">
        <v>83</v>
      </c>
      <c r="B12" s="35"/>
      <c r="C12" s="35" t="s">
        <v>152</v>
      </c>
      <c r="D12" s="35"/>
      <c r="E12" s="34">
        <v>1200000.1200000001</v>
      </c>
      <c r="F12" s="34"/>
    </row>
  </sheetData>
  <mergeCells count="34">
    <mergeCell ref="A2:B2"/>
    <mergeCell ref="A3:B3"/>
    <mergeCell ref="C2:D2"/>
    <mergeCell ref="E2:F2"/>
    <mergeCell ref="A1:E1"/>
    <mergeCell ref="A4:B4"/>
    <mergeCell ref="A5:B5"/>
    <mergeCell ref="A6:B6"/>
    <mergeCell ref="A7:B7"/>
    <mergeCell ref="A8:B8"/>
    <mergeCell ref="C3:D3"/>
    <mergeCell ref="C4:D4"/>
    <mergeCell ref="C5:D5"/>
    <mergeCell ref="C6:D6"/>
    <mergeCell ref="C7:D7"/>
    <mergeCell ref="E8:F8"/>
    <mergeCell ref="E9:F9"/>
    <mergeCell ref="A10:B10"/>
    <mergeCell ref="A11:B11"/>
    <mergeCell ref="A12:B12"/>
    <mergeCell ref="C8:D8"/>
    <mergeCell ref="C9:D9"/>
    <mergeCell ref="A9:B9"/>
    <mergeCell ref="E3:F3"/>
    <mergeCell ref="E4:F4"/>
    <mergeCell ref="E5:F5"/>
    <mergeCell ref="E6:F6"/>
    <mergeCell ref="E7:F7"/>
    <mergeCell ref="E10:F10"/>
    <mergeCell ref="E11:F11"/>
    <mergeCell ref="E12:F12"/>
    <mergeCell ref="C10:D10"/>
    <mergeCell ref="C11:D11"/>
    <mergeCell ref="C12:D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Clientes</vt:lpstr>
      <vt:lpstr>clientes_2</vt:lpstr>
      <vt:lpstr>Entrenadores</vt:lpstr>
      <vt:lpstr>Membresias</vt:lpstr>
      <vt:lpstr>factura</vt:lpstr>
      <vt:lpstr>Hoja6</vt:lpstr>
      <vt:lpstr>Hoja7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2026-06-11T18:25:24Z</dcterms:created>
  <dcterms:modified xsi:type="dcterms:W3CDTF">2026-06-12T06:34:58Z</dcterms:modified>
</cp:coreProperties>
</file>