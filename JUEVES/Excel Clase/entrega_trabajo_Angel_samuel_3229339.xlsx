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SENA\JUEVES CLASES\Excel Clase\"/>
    </mc:Choice>
  </mc:AlternateContent>
  <xr:revisionPtr revIDLastSave="0" documentId="13_ncr:1_{2882FCDB-C8E3-4D2A-BE23-84C601AEC6D6}" xr6:coauthVersionLast="36" xr6:coauthVersionMax="36" xr10:uidLastSave="{00000000-0000-0000-0000-000000000000}"/>
  <bookViews>
    <workbookView xWindow="0" yWindow="0" windowWidth="16392" windowHeight="5460" activeTab="4" xr2:uid="{00000000-000D-0000-FFFF-FFFF00000000}"/>
  </bookViews>
  <sheets>
    <sheet name="Clientes" sheetId="1" r:id="rId1"/>
    <sheet name="Productos" sheetId="2" r:id="rId2"/>
    <sheet name="Vendedores" sheetId="3" r:id="rId3"/>
    <sheet name="Ventas_2026" sheetId="4" r:id="rId4"/>
    <sheet name="Factura" sheetId="5" r:id="rId5"/>
  </sheets>
  <calcPr calcId="191029"/>
</workbook>
</file>

<file path=xl/calcChain.xml><?xml version="1.0" encoding="utf-8"?>
<calcChain xmlns="http://schemas.openxmlformats.org/spreadsheetml/2006/main">
  <c r="B13" i="5" l="1"/>
  <c r="B12" i="5"/>
  <c r="B11" i="5"/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" i="4"/>
</calcChain>
</file>

<file path=xl/sharedStrings.xml><?xml version="1.0" encoding="utf-8"?>
<sst xmlns="http://schemas.openxmlformats.org/spreadsheetml/2006/main" count="190" uniqueCount="125">
  <si>
    <t>ID_Cliente</t>
  </si>
  <si>
    <t>Nombre</t>
  </si>
  <si>
    <t>Apellido</t>
  </si>
  <si>
    <t xml:space="preserve">Direccion </t>
  </si>
  <si>
    <t>Celular</t>
  </si>
  <si>
    <t>Carlos</t>
  </si>
  <si>
    <t>Gómez</t>
  </si>
  <si>
    <t>Calle 123</t>
  </si>
  <si>
    <t xml:space="preserve">Ana </t>
  </si>
  <si>
    <t>Pérez</t>
  </si>
  <si>
    <t>Calle 124</t>
  </si>
  <si>
    <t xml:space="preserve">Juan </t>
  </si>
  <si>
    <t xml:space="preserve"> López</t>
  </si>
  <si>
    <t>Calle 125</t>
  </si>
  <si>
    <t xml:space="preserve">María </t>
  </si>
  <si>
    <t>Díaz</t>
  </si>
  <si>
    <t>Calle 126</t>
  </si>
  <si>
    <t>Luis</t>
  </si>
  <si>
    <t>Torres</t>
  </si>
  <si>
    <t>Calle 127</t>
  </si>
  <si>
    <t xml:space="preserve">Sofía </t>
  </si>
  <si>
    <t>Rojas</t>
  </si>
  <si>
    <t>Calle 128</t>
  </si>
  <si>
    <t>emanuel</t>
  </si>
  <si>
    <t>muñoz</t>
  </si>
  <si>
    <t>Calle 129</t>
  </si>
  <si>
    <t>Manuela</t>
  </si>
  <si>
    <t>Ramirez</t>
  </si>
  <si>
    <t>Calle 130</t>
  </si>
  <si>
    <t>Stiven</t>
  </si>
  <si>
    <t>Florez</t>
  </si>
  <si>
    <t>Calle 131</t>
  </si>
  <si>
    <t xml:space="preserve"> </t>
  </si>
  <si>
    <t>ID_Producto</t>
  </si>
  <si>
    <t>Nombre Producto</t>
  </si>
  <si>
    <t>Valor</t>
  </si>
  <si>
    <t>PRO-01</t>
  </si>
  <si>
    <t>Alitas BBQ  (6 unidades)</t>
  </si>
  <si>
    <t>PRO-02</t>
  </si>
  <si>
    <t>Alitas BBQ (12 unidades)</t>
  </si>
  <si>
    <t>PRO-03</t>
  </si>
  <si>
    <t>Papas Fritas</t>
  </si>
  <si>
    <t>PRO-04</t>
  </si>
  <si>
    <t>Alitas Picantes (6 unidades)</t>
  </si>
  <si>
    <t>PRO-05</t>
  </si>
  <si>
    <t>Hamburguesa de Pollo</t>
  </si>
  <si>
    <t>PRO-06</t>
  </si>
  <si>
    <t>Pollo Asado (1/2)</t>
  </si>
  <si>
    <t>PRO-07</t>
  </si>
  <si>
    <t>Pechuga a la Plancha</t>
  </si>
  <si>
    <t>PRO-08</t>
  </si>
  <si>
    <t>Gaseosa 400 ml</t>
  </si>
  <si>
    <t>PRO-09</t>
  </si>
  <si>
    <t>Combo Hamburguesa de Pollo + Papas + Gaseosa</t>
  </si>
  <si>
    <t>PRO-10</t>
  </si>
  <si>
    <t>Pollo Asado (1/4)</t>
  </si>
  <si>
    <t>PRO-11</t>
  </si>
  <si>
    <t>Combo Alitas + Papas + Gaseosa</t>
  </si>
  <si>
    <t>PRO-12</t>
  </si>
  <si>
    <t>Alitas Picantes (12 unidades)</t>
  </si>
  <si>
    <t>ID_Vendedor</t>
  </si>
  <si>
    <t>Cedula</t>
  </si>
  <si>
    <t>VEN-01</t>
  </si>
  <si>
    <t>Alejandro</t>
  </si>
  <si>
    <t>VEN-02</t>
  </si>
  <si>
    <t>Alejandra</t>
  </si>
  <si>
    <t>VEN-03</t>
  </si>
  <si>
    <t>Maria</t>
  </si>
  <si>
    <t>VEN-04</t>
  </si>
  <si>
    <t>Juliana</t>
  </si>
  <si>
    <t>VEN-05</t>
  </si>
  <si>
    <t>Angel</t>
  </si>
  <si>
    <t>VEN-06</t>
  </si>
  <si>
    <t>Valentina</t>
  </si>
  <si>
    <t>VEN-07</t>
  </si>
  <si>
    <t>Vanessa</t>
  </si>
  <si>
    <t>VEN-08</t>
  </si>
  <si>
    <t>Gloria</t>
  </si>
  <si>
    <t>VEN-09</t>
  </si>
  <si>
    <t>Hugo</t>
  </si>
  <si>
    <t>Fecha</t>
  </si>
  <si>
    <t>Cliente</t>
  </si>
  <si>
    <t>Producto</t>
  </si>
  <si>
    <t>Vendedor</t>
  </si>
  <si>
    <t>05/01/2026</t>
  </si>
  <si>
    <t>18/01/2026</t>
  </si>
  <si>
    <t>07/02/2026</t>
  </si>
  <si>
    <t>22/02/2026</t>
  </si>
  <si>
    <t>10/03/2026</t>
  </si>
  <si>
    <t>28/03/2026</t>
  </si>
  <si>
    <t>12/04/2026</t>
  </si>
  <si>
    <t>26/04/2026</t>
  </si>
  <si>
    <t>08/05/2026</t>
  </si>
  <si>
    <t>21/05/2026</t>
  </si>
  <si>
    <t>09/06/2026</t>
  </si>
  <si>
    <t>24/06/2026</t>
  </si>
  <si>
    <t>06/07/2026</t>
  </si>
  <si>
    <t>19/07/2026</t>
  </si>
  <si>
    <t>11/08/2026</t>
  </si>
  <si>
    <t>27/08/2026</t>
  </si>
  <si>
    <t>,</t>
  </si>
  <si>
    <t>05/09/2026</t>
  </si>
  <si>
    <t>18/09/2026</t>
  </si>
  <si>
    <t>07/10/2026</t>
  </si>
  <si>
    <t>23/10/2026</t>
  </si>
  <si>
    <t>09/11/2026</t>
  </si>
  <si>
    <t>25/11/2026</t>
  </si>
  <si>
    <t>10/12/2026</t>
  </si>
  <si>
    <t>22/12/2026</t>
  </si>
  <si>
    <t>POLLOSELGEL</t>
  </si>
  <si>
    <t>RESTAURANTES POLLOSGEL</t>
  </si>
  <si>
    <t>NIT 100487561</t>
  </si>
  <si>
    <t>Calle 12 #9a-29</t>
  </si>
  <si>
    <t>Medellin - Colombia</t>
  </si>
  <si>
    <t>CLIENTE</t>
  </si>
  <si>
    <t>Direccion</t>
  </si>
  <si>
    <t>DATOS FACTURA</t>
  </si>
  <si>
    <t>Numero</t>
  </si>
  <si>
    <t>Ciudad</t>
  </si>
  <si>
    <t>ITEM</t>
  </si>
  <si>
    <t>CODIGO</t>
  </si>
  <si>
    <t>DESCRIPCION</t>
  </si>
  <si>
    <t>VALOR UNITARIO</t>
  </si>
  <si>
    <t>CANTIDAD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</si>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</sst>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0" xfId="0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2</xdr:col>
      <xdr:colOff>0</xdr:colOff>
      <xdr:row>7</xdr:row>
      <xdr:rowOff>0</xdr:rowOff>
    </xdr:to>
    <xdr:pic>
      <xdr:nvPicPr>
        <xdr:cNvPr id="2" name="Imagen 1" descr="Imágenes de Logo pollo - Descarga gratuita en Magnific ...">
          <a:extLst>
            <a:ext uri="{FF2B5EF4-FFF2-40B4-BE49-F238E27FC236}">
              <a16:creationId xmlns:a16="http://schemas.microsoft.com/office/drawing/2014/main" id="{1C4C9FD1-A22A-4090-A1AD-DBC89859A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"/>
          <a:ext cx="1584960" cy="1272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11" totalsRowShown="0">
  <autoFilter ref="A1:E11" xr:uid="{00000000-0009-0000-0100-000001000000}"/>
  <tableColumns count="5">
    <tableColumn id="1" xr3:uid="{00000000-0010-0000-0000-000001000000}" name="ID_Cliente"/>
    <tableColumn id="2" xr3:uid="{00000000-0010-0000-0000-000002000000}" name="Nombre"/>
    <tableColumn id="3" xr3:uid="{00000000-0010-0000-0000-000003000000}" name="Apellido"/>
    <tableColumn id="4" xr3:uid="{00000000-0010-0000-0000-000004000000}" name="Direccion "/>
    <tableColumn id="5" xr3:uid="{00000000-0010-0000-0000-000005000000}" name="Celula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a5" displayName="Tabla5" ref="A1:C13" totalsRowShown="0">
  <autoFilter ref="A1:C13" xr:uid="{00000000-0009-0000-0100-000005000000}"/>
  <tableColumns count="3">
    <tableColumn id="1" xr3:uid="{00000000-0010-0000-0100-000001000000}" name="ID_Producto"/>
    <tableColumn id="2" xr3:uid="{00000000-0010-0000-0100-000002000000}" name="Nombre Producto"/>
    <tableColumn id="3" xr3:uid="{00000000-0010-0000-0100-000003000000}" name="Val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1:D11" totalsRowShown="0">
  <autoFilter ref="A1:D11" xr:uid="{00000000-0009-0000-0100-000003000000}"/>
  <tableColumns count="4">
    <tableColumn id="1" xr3:uid="{00000000-0010-0000-0200-000001000000}" name="ID_Vendedor"/>
    <tableColumn id="2" xr3:uid="{00000000-0010-0000-0200-000002000000}" name="Nombre"/>
    <tableColumn id="3" xr3:uid="{00000000-0010-0000-0200-000003000000}" name="Apellido"/>
    <tableColumn id="4" xr3:uid="{00000000-0010-0000-0200-000004000000}" name="Cedul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2" displayName="Tabla2" ref="A1:E25" totalsRowShown="0">
  <autoFilter ref="A1:E25" xr:uid="{00000000-0009-0000-0100-000002000000}"/>
  <tableColumns count="5">
    <tableColumn id="1" xr3:uid="{00000000-0010-0000-0300-000001000000}" name="Fecha"/>
    <tableColumn id="2" xr3:uid="{00000000-0010-0000-0300-000002000000}" name="Cliente"/>
    <tableColumn id="3" xr3:uid="{00000000-0010-0000-0300-000003000000}" name="Producto"/>
    <tableColumn id="4" xr3:uid="{00000000-0010-0000-0300-000004000000}" name="Vendedor"/>
    <tableColumn id="5" xr3:uid="{00000000-0010-0000-0300-000005000000}" name="Valor" dataDxfId="0">
      <calculatedColumnFormula>IFERROR(VLOOKUP(C2,Productos!$A$2:$C$13,3,FALSE),"No encontrado")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E11"/>
  <sheetViews>
    <sheetView workbookViewId="0">
      <selection activeCell="E16" sqref="E16"/>
    </sheetView>
  </sheetViews>
  <sheetFormatPr baseColWidth="10" defaultColWidth="9" defaultRowHeight="14.4"/>
  <cols>
    <col min="1" max="1" width="12.21875" customWidth="1"/>
    <col min="2" max="2" width="15.5546875" customWidth="1"/>
    <col min="3" max="3" width="14.5546875" customWidth="1"/>
    <col min="4" max="4" width="16.33203125" customWidth="1"/>
    <col min="5" max="5" width="13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102001</v>
      </c>
      <c r="B2" t="s">
        <v>5</v>
      </c>
      <c r="C2" t="s">
        <v>6</v>
      </c>
      <c r="D2" s="1" t="s">
        <v>7</v>
      </c>
      <c r="E2" s="1">
        <v>3100450123</v>
      </c>
    </row>
    <row r="3" spans="1:5">
      <c r="A3">
        <v>102002</v>
      </c>
      <c r="B3" t="s">
        <v>8</v>
      </c>
      <c r="C3" t="s">
        <v>9</v>
      </c>
      <c r="D3" s="1" t="s">
        <v>10</v>
      </c>
      <c r="E3" s="1">
        <v>3100450124</v>
      </c>
    </row>
    <row r="4" spans="1:5">
      <c r="A4">
        <v>102003</v>
      </c>
      <c r="B4" t="s">
        <v>11</v>
      </c>
      <c r="C4" t="s">
        <v>12</v>
      </c>
      <c r="D4" s="1" t="s">
        <v>13</v>
      </c>
      <c r="E4" s="1">
        <v>3100450125</v>
      </c>
    </row>
    <row r="5" spans="1:5">
      <c r="A5">
        <v>102004</v>
      </c>
      <c r="B5" t="s">
        <v>14</v>
      </c>
      <c r="C5" t="s">
        <v>15</v>
      </c>
      <c r="D5" s="1" t="s">
        <v>16</v>
      </c>
      <c r="E5" s="1">
        <v>3100450126</v>
      </c>
    </row>
    <row r="6" spans="1:5">
      <c r="A6">
        <v>102005</v>
      </c>
      <c r="B6" t="s">
        <v>17</v>
      </c>
      <c r="C6" t="s">
        <v>18</v>
      </c>
      <c r="D6" s="1" t="s">
        <v>19</v>
      </c>
      <c r="E6" s="1">
        <v>3100450127</v>
      </c>
    </row>
    <row r="7" spans="1:5">
      <c r="A7">
        <v>102006</v>
      </c>
      <c r="B7" t="s">
        <v>20</v>
      </c>
      <c r="C7" t="s">
        <v>21</v>
      </c>
      <c r="D7" s="1" t="s">
        <v>22</v>
      </c>
      <c r="E7" s="1">
        <v>3100450128</v>
      </c>
    </row>
    <row r="8" spans="1:5">
      <c r="A8">
        <v>102007</v>
      </c>
      <c r="B8" t="s">
        <v>23</v>
      </c>
      <c r="C8" t="s">
        <v>24</v>
      </c>
      <c r="D8" s="1" t="s">
        <v>25</v>
      </c>
      <c r="E8" s="1">
        <v>3100450129</v>
      </c>
    </row>
    <row r="9" spans="1:5">
      <c r="A9">
        <v>102008</v>
      </c>
      <c r="B9" t="s">
        <v>26</v>
      </c>
      <c r="C9" t="s">
        <v>27</v>
      </c>
      <c r="D9" s="1" t="s">
        <v>28</v>
      </c>
      <c r="E9" s="1">
        <v>3100450130</v>
      </c>
    </row>
    <row r="10" spans="1:5">
      <c r="A10">
        <v>102009</v>
      </c>
      <c r="B10" t="s">
        <v>29</v>
      </c>
      <c r="C10" t="s">
        <v>30</v>
      </c>
      <c r="D10" s="1" t="s">
        <v>31</v>
      </c>
      <c r="E10" s="1">
        <v>3100450131</v>
      </c>
    </row>
    <row r="11" spans="1:5">
      <c r="D11" s="1" t="s">
        <v>32</v>
      </c>
      <c r="E11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C13"/>
  <sheetViews>
    <sheetView workbookViewId="0">
      <selection sqref="A1:A13"/>
    </sheetView>
  </sheetViews>
  <sheetFormatPr baseColWidth="10" defaultColWidth="9" defaultRowHeight="14.4"/>
  <cols>
    <col min="1" max="1" width="17.21875" customWidth="1"/>
    <col min="2" max="2" width="41.77734375" customWidth="1"/>
    <col min="3" max="3" width="13.6640625" customWidth="1"/>
  </cols>
  <sheetData>
    <row r="1" spans="1:3">
      <c r="A1" t="s">
        <v>33</v>
      </c>
      <c r="B1" t="s">
        <v>34</v>
      </c>
      <c r="C1" t="s">
        <v>35</v>
      </c>
    </row>
    <row r="2" spans="1:3">
      <c r="A2" t="s">
        <v>36</v>
      </c>
      <c r="B2" t="s">
        <v>37</v>
      </c>
      <c r="C2">
        <v>18000</v>
      </c>
    </row>
    <row r="3" spans="1:3">
      <c r="A3" t="s">
        <v>38</v>
      </c>
      <c r="B3" t="s">
        <v>39</v>
      </c>
      <c r="C3">
        <v>32000</v>
      </c>
    </row>
    <row r="4" spans="1:3">
      <c r="A4" t="s">
        <v>40</v>
      </c>
      <c r="B4" t="s">
        <v>41</v>
      </c>
      <c r="C4">
        <v>8000</v>
      </c>
    </row>
    <row r="5" spans="1:3">
      <c r="A5" t="s">
        <v>42</v>
      </c>
      <c r="B5" s="2" t="s">
        <v>43</v>
      </c>
      <c r="C5">
        <v>19000</v>
      </c>
    </row>
    <row r="6" spans="1:3">
      <c r="A6" t="s">
        <v>44</v>
      </c>
      <c r="B6" t="s">
        <v>45</v>
      </c>
      <c r="C6">
        <v>21000</v>
      </c>
    </row>
    <row r="7" spans="1:3">
      <c r="A7" t="s">
        <v>46</v>
      </c>
      <c r="B7" t="s">
        <v>47</v>
      </c>
      <c r="C7">
        <v>29000</v>
      </c>
    </row>
    <row r="8" spans="1:3">
      <c r="A8" t="s">
        <v>48</v>
      </c>
      <c r="B8" s="2" t="s">
        <v>49</v>
      </c>
      <c r="C8">
        <v>22000</v>
      </c>
    </row>
    <row r="9" spans="1:3">
      <c r="A9" t="s">
        <v>50</v>
      </c>
      <c r="B9" t="s">
        <v>51</v>
      </c>
      <c r="C9">
        <v>5000</v>
      </c>
    </row>
    <row r="10" spans="1:3">
      <c r="A10" t="s">
        <v>52</v>
      </c>
      <c r="B10" t="s">
        <v>53</v>
      </c>
      <c r="C10">
        <v>32000</v>
      </c>
    </row>
    <row r="11" spans="1:3">
      <c r="A11" t="s">
        <v>54</v>
      </c>
      <c r="B11" t="s">
        <v>55</v>
      </c>
      <c r="C11">
        <v>16000</v>
      </c>
    </row>
    <row r="12" spans="1:3">
      <c r="A12" t="s">
        <v>56</v>
      </c>
      <c r="B12" t="s">
        <v>57</v>
      </c>
      <c r="C12">
        <v>28000</v>
      </c>
    </row>
    <row r="13" spans="1:3">
      <c r="A13" t="s">
        <v>58</v>
      </c>
      <c r="B13" s="2" t="s">
        <v>59</v>
      </c>
      <c r="C13">
        <v>34000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D11"/>
  <sheetViews>
    <sheetView workbookViewId="0">
      <selection activeCell="D12" sqref="D12"/>
    </sheetView>
  </sheetViews>
  <sheetFormatPr baseColWidth="10" defaultColWidth="9" defaultRowHeight="14.4"/>
  <cols>
    <col min="1" max="1" width="14.109375" customWidth="1"/>
    <col min="2" max="2" width="22" customWidth="1"/>
    <col min="3" max="3" width="20.109375" customWidth="1"/>
    <col min="4" max="4" width="15.5546875" customWidth="1"/>
  </cols>
  <sheetData>
    <row r="1" spans="1:4">
      <c r="A1" t="s">
        <v>60</v>
      </c>
      <c r="B1" t="s">
        <v>1</v>
      </c>
      <c r="C1" t="s">
        <v>2</v>
      </c>
      <c r="D1" t="s">
        <v>61</v>
      </c>
    </row>
    <row r="2" spans="1:4">
      <c r="A2" t="s">
        <v>62</v>
      </c>
      <c r="B2" s="1" t="s">
        <v>63</v>
      </c>
      <c r="C2" t="s">
        <v>6</v>
      </c>
      <c r="D2" s="1">
        <v>71222001</v>
      </c>
    </row>
    <row r="3" spans="1:4">
      <c r="A3" t="s">
        <v>64</v>
      </c>
      <c r="B3" s="1" t="s">
        <v>65</v>
      </c>
      <c r="C3" t="s">
        <v>9</v>
      </c>
      <c r="D3" s="1">
        <v>71222002</v>
      </c>
    </row>
    <row r="4" spans="1:4">
      <c r="A4" t="s">
        <v>66</v>
      </c>
      <c r="B4" s="1" t="s">
        <v>67</v>
      </c>
      <c r="C4" t="s">
        <v>12</v>
      </c>
      <c r="D4" s="1">
        <v>71222003</v>
      </c>
    </row>
    <row r="5" spans="1:4">
      <c r="A5" t="s">
        <v>68</v>
      </c>
      <c r="B5" s="1" t="s">
        <v>69</v>
      </c>
      <c r="C5" t="s">
        <v>15</v>
      </c>
      <c r="D5" s="1">
        <v>71222004</v>
      </c>
    </row>
    <row r="6" spans="1:4">
      <c r="A6" t="s">
        <v>70</v>
      </c>
      <c r="B6" s="1" t="s">
        <v>71</v>
      </c>
      <c r="C6" t="s">
        <v>18</v>
      </c>
      <c r="D6" s="1">
        <v>71222005</v>
      </c>
    </row>
    <row r="7" spans="1:4">
      <c r="A7" t="s">
        <v>72</v>
      </c>
      <c r="B7" s="1" t="s">
        <v>73</v>
      </c>
      <c r="C7" t="s">
        <v>21</v>
      </c>
      <c r="D7" s="1">
        <v>71222006</v>
      </c>
    </row>
    <row r="8" spans="1:4">
      <c r="A8" t="s">
        <v>74</v>
      </c>
      <c r="B8" s="1" t="s">
        <v>75</v>
      </c>
      <c r="C8" t="s">
        <v>24</v>
      </c>
      <c r="D8" s="1">
        <v>71222007</v>
      </c>
    </row>
    <row r="9" spans="1:4">
      <c r="A9" t="s">
        <v>76</v>
      </c>
      <c r="B9" s="1" t="s">
        <v>77</v>
      </c>
      <c r="C9" t="s">
        <v>27</v>
      </c>
      <c r="D9" s="1">
        <v>71222008</v>
      </c>
    </row>
    <row r="10" spans="1:4">
      <c r="A10" t="s">
        <v>78</v>
      </c>
      <c r="B10" s="1" t="s">
        <v>79</v>
      </c>
      <c r="C10" t="s">
        <v>30</v>
      </c>
      <c r="D10" s="1">
        <v>71222009</v>
      </c>
    </row>
    <row r="11" spans="1:4">
      <c r="B11" s="1"/>
      <c r="D11" s="1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A1:H25"/>
  <sheetViews>
    <sheetView topLeftCell="A7" zoomScale="78" zoomScaleNormal="78" workbookViewId="0">
      <selection activeCell="E2" sqref="E2"/>
    </sheetView>
  </sheetViews>
  <sheetFormatPr baseColWidth="10" defaultColWidth="9" defaultRowHeight="14.4"/>
  <cols>
    <col min="1" max="1" width="15.44140625" customWidth="1"/>
    <col min="2" max="2" width="18.88671875" customWidth="1"/>
    <col min="3" max="3" width="17.109375" customWidth="1"/>
    <col min="4" max="4" width="20.88671875" customWidth="1"/>
    <col min="5" max="5" width="16.88671875" customWidth="1"/>
  </cols>
  <sheetData>
    <row r="1" spans="1:5">
      <c r="A1" t="s">
        <v>80</v>
      </c>
      <c r="B1" t="s">
        <v>81</v>
      </c>
      <c r="C1" t="s">
        <v>82</v>
      </c>
      <c r="D1" t="s">
        <v>83</v>
      </c>
      <c r="E1" t="s">
        <v>35</v>
      </c>
    </row>
    <row r="2" spans="1:5">
      <c r="A2" t="s">
        <v>84</v>
      </c>
      <c r="B2">
        <v>102001</v>
      </c>
      <c r="C2" t="s">
        <v>36</v>
      </c>
      <c r="D2" t="s">
        <v>62</v>
      </c>
      <c r="E2">
        <f>IFERROR(VLOOKUP(C2,Productos!$A$2:$C$13,3,FALSE),"No encontrado")</f>
        <v>18000</v>
      </c>
    </row>
    <row r="3" spans="1:5">
      <c r="A3" t="s">
        <v>85</v>
      </c>
      <c r="B3">
        <v>102005</v>
      </c>
      <c r="C3" t="s">
        <v>40</v>
      </c>
      <c r="D3" t="s">
        <v>64</v>
      </c>
      <c r="E3">
        <f>IFERROR(VLOOKUP(C3,Productos!$A$2:$C$13,3,FALSE),"No encontrado")</f>
        <v>8000</v>
      </c>
    </row>
    <row r="4" spans="1:5">
      <c r="A4" t="s">
        <v>86</v>
      </c>
      <c r="B4">
        <v>102003</v>
      </c>
      <c r="C4" t="s">
        <v>38</v>
      </c>
      <c r="D4" t="s">
        <v>66</v>
      </c>
      <c r="E4">
        <f>IFERROR(VLOOKUP(C4,Productos!$A$2:$C$13,3,FALSE),"No encontrado")</f>
        <v>32000</v>
      </c>
    </row>
    <row r="5" spans="1:5">
      <c r="A5" t="s">
        <v>87</v>
      </c>
      <c r="B5">
        <v>102001</v>
      </c>
      <c r="C5" t="s">
        <v>44</v>
      </c>
      <c r="D5" t="s">
        <v>62</v>
      </c>
      <c r="E5">
        <f>IFERROR(VLOOKUP(C5,Productos!$A$2:$C$13,3,FALSE),"No encontrado")</f>
        <v>21000</v>
      </c>
    </row>
    <row r="6" spans="1:5">
      <c r="A6" t="s">
        <v>88</v>
      </c>
      <c r="B6">
        <v>102004</v>
      </c>
      <c r="C6" t="s">
        <v>42</v>
      </c>
      <c r="D6" t="s">
        <v>64</v>
      </c>
      <c r="E6">
        <f>IFERROR(VLOOKUP(C6,Productos!$A$2:$C$13,3,FALSE),"No encontrado")</f>
        <v>19000</v>
      </c>
    </row>
    <row r="7" spans="1:5">
      <c r="A7" t="s">
        <v>89</v>
      </c>
      <c r="B7">
        <v>102006</v>
      </c>
      <c r="C7" t="s">
        <v>36</v>
      </c>
      <c r="D7" t="s">
        <v>66</v>
      </c>
      <c r="E7">
        <f>IFERROR(VLOOKUP(C7,Productos!$A$2:$C$13,3,FALSE),"No encontrado")</f>
        <v>18000</v>
      </c>
    </row>
    <row r="8" spans="1:5">
      <c r="A8" t="s">
        <v>90</v>
      </c>
      <c r="B8">
        <v>102002</v>
      </c>
      <c r="C8" t="s">
        <v>46</v>
      </c>
      <c r="D8" t="s">
        <v>68</v>
      </c>
      <c r="E8">
        <f>IFERROR(VLOOKUP(C8,Productos!$A$2:$C$13,3,FALSE),"No encontrado")</f>
        <v>29000</v>
      </c>
    </row>
    <row r="9" spans="1:5">
      <c r="A9" t="s">
        <v>91</v>
      </c>
      <c r="B9">
        <v>102003</v>
      </c>
      <c r="C9" t="s">
        <v>38</v>
      </c>
      <c r="D9" t="s">
        <v>62</v>
      </c>
      <c r="E9">
        <f>IFERROR(VLOOKUP(C9,Productos!$A$2:$C$13,3,FALSE),"No encontrado")</f>
        <v>32000</v>
      </c>
    </row>
    <row r="10" spans="1:5">
      <c r="A10" t="s">
        <v>92</v>
      </c>
      <c r="B10">
        <v>102005</v>
      </c>
      <c r="C10" t="s">
        <v>40</v>
      </c>
      <c r="D10" t="s">
        <v>70</v>
      </c>
      <c r="E10">
        <f>IFERROR(VLOOKUP(C10,Productos!$A$2:$C$13,3,FALSE),"No encontrado")</f>
        <v>8000</v>
      </c>
    </row>
    <row r="11" spans="1:5">
      <c r="A11" t="s">
        <v>93</v>
      </c>
      <c r="B11">
        <v>102004</v>
      </c>
      <c r="C11" t="s">
        <v>48</v>
      </c>
      <c r="D11" t="s">
        <v>64</v>
      </c>
      <c r="E11">
        <f>IFERROR(VLOOKUP(C11,Productos!$A$2:$C$13,3,FALSE),"No encontrado")</f>
        <v>22000</v>
      </c>
    </row>
    <row r="12" spans="1:5">
      <c r="A12" t="s">
        <v>94</v>
      </c>
      <c r="B12">
        <v>102001</v>
      </c>
      <c r="C12" t="s">
        <v>44</v>
      </c>
      <c r="D12" t="s">
        <v>68</v>
      </c>
      <c r="E12">
        <f>IFERROR(VLOOKUP(C12,Productos!$A$2:$C$13,3,FALSE),"No encontrado")</f>
        <v>21000</v>
      </c>
    </row>
    <row r="13" spans="1:5">
      <c r="A13" t="s">
        <v>95</v>
      </c>
      <c r="B13">
        <v>102006</v>
      </c>
      <c r="C13" t="s">
        <v>36</v>
      </c>
      <c r="D13" t="s">
        <v>66</v>
      </c>
      <c r="E13">
        <f>IFERROR(VLOOKUP(C13,Productos!$A$2:$C$13,3,FALSE),"No encontrado")</f>
        <v>18000</v>
      </c>
    </row>
    <row r="14" spans="1:5">
      <c r="A14" t="s">
        <v>96</v>
      </c>
      <c r="B14">
        <v>102002</v>
      </c>
      <c r="C14" t="s">
        <v>42</v>
      </c>
      <c r="D14" t="s">
        <v>70</v>
      </c>
      <c r="E14">
        <f>IFERROR(VLOOKUP(C14,Productos!$A$2:$C$13,3,FALSE),"No encontrado")</f>
        <v>19000</v>
      </c>
    </row>
    <row r="15" spans="1:5">
      <c r="A15" t="s">
        <v>97</v>
      </c>
      <c r="B15">
        <v>102003</v>
      </c>
      <c r="C15" t="s">
        <v>46</v>
      </c>
      <c r="D15" t="s">
        <v>62</v>
      </c>
      <c r="E15">
        <f>IFERROR(VLOOKUP(C15,Productos!$A$2:$C$13,3,FALSE),"No encontrado")</f>
        <v>29000</v>
      </c>
    </row>
    <row r="16" spans="1:5">
      <c r="A16" t="s">
        <v>98</v>
      </c>
      <c r="B16">
        <v>102004</v>
      </c>
      <c r="C16" t="s">
        <v>38</v>
      </c>
      <c r="D16" t="s">
        <v>64</v>
      </c>
      <c r="E16">
        <f>IFERROR(VLOOKUP(C16,Productos!$A$2:$C$13,3,FALSE),"No encontrado")</f>
        <v>32000</v>
      </c>
    </row>
    <row r="17" spans="1:8">
      <c r="A17" t="s">
        <v>99</v>
      </c>
      <c r="B17">
        <v>102005</v>
      </c>
      <c r="C17" t="s">
        <v>40</v>
      </c>
      <c r="D17" t="s">
        <v>68</v>
      </c>
      <c r="E17">
        <f>IFERROR(VLOOKUP(C17,Productos!$A$2:$C$13,3,FALSE),"No encontrado")</f>
        <v>8000</v>
      </c>
      <c r="H17" t="s">
        <v>100</v>
      </c>
    </row>
    <row r="18" spans="1:8">
      <c r="A18" t="s">
        <v>101</v>
      </c>
      <c r="B18">
        <v>102006</v>
      </c>
      <c r="C18" t="s">
        <v>48</v>
      </c>
      <c r="D18" t="s">
        <v>66</v>
      </c>
      <c r="E18">
        <f>IFERROR(VLOOKUP(C18,Productos!$A$2:$C$13,3,FALSE),"No encontrado")</f>
        <v>22000</v>
      </c>
    </row>
    <row r="19" spans="1:8">
      <c r="A19" t="s">
        <v>102</v>
      </c>
      <c r="B19">
        <v>102001</v>
      </c>
      <c r="C19" t="s">
        <v>44</v>
      </c>
      <c r="D19" t="s">
        <v>70</v>
      </c>
      <c r="E19">
        <f>IFERROR(VLOOKUP(C19,Productos!$A$2:$C$13,3,FALSE),"No encontrado")</f>
        <v>21000</v>
      </c>
    </row>
    <row r="20" spans="1:8">
      <c r="A20" t="s">
        <v>103</v>
      </c>
      <c r="B20">
        <v>102002</v>
      </c>
      <c r="C20" t="s">
        <v>36</v>
      </c>
      <c r="D20" t="s">
        <v>62</v>
      </c>
      <c r="E20">
        <f>IFERROR(VLOOKUP(C20,Productos!$A$2:$C$13,3,FALSE),"No encontrado")</f>
        <v>18000</v>
      </c>
    </row>
    <row r="21" spans="1:8">
      <c r="A21" t="s">
        <v>104</v>
      </c>
      <c r="B21">
        <v>102003</v>
      </c>
      <c r="C21" t="s">
        <v>42</v>
      </c>
      <c r="D21" t="s">
        <v>64</v>
      </c>
      <c r="E21">
        <f>IFERROR(VLOOKUP(C21,Productos!$A$2:$C$13,3,FALSE),"No encontrado")</f>
        <v>19000</v>
      </c>
    </row>
    <row r="22" spans="1:8">
      <c r="A22" t="s">
        <v>105</v>
      </c>
      <c r="B22">
        <v>102004</v>
      </c>
      <c r="C22" t="s">
        <v>46</v>
      </c>
      <c r="D22" t="s">
        <v>66</v>
      </c>
      <c r="E22">
        <f>IFERROR(VLOOKUP(C22,Productos!$A$2:$C$13,3,FALSE),"No encontrado")</f>
        <v>29000</v>
      </c>
    </row>
    <row r="23" spans="1:8">
      <c r="A23" t="s">
        <v>106</v>
      </c>
      <c r="B23">
        <v>102005</v>
      </c>
      <c r="C23" t="s">
        <v>38</v>
      </c>
      <c r="D23" t="s">
        <v>68</v>
      </c>
      <c r="E23">
        <f>IFERROR(VLOOKUP(C23,Productos!$A$2:$C$13,3,FALSE),"No encontrado")</f>
        <v>32000</v>
      </c>
    </row>
    <row r="24" spans="1:8">
      <c r="A24" t="s">
        <v>107</v>
      </c>
      <c r="B24">
        <v>102006</v>
      </c>
      <c r="C24" t="s">
        <v>40</v>
      </c>
      <c r="D24" t="s">
        <v>70</v>
      </c>
      <c r="E24">
        <f>IFERROR(VLOOKUP(C24,Productos!$A$2:$C$13,3,FALSE),"No encontrado")</f>
        <v>8000</v>
      </c>
    </row>
    <row r="25" spans="1:8">
      <c r="A25" t="s">
        <v>108</v>
      </c>
      <c r="B25">
        <v>102001</v>
      </c>
      <c r="C25" t="s">
        <v>48</v>
      </c>
      <c r="D25" t="s">
        <v>62</v>
      </c>
      <c r="E25">
        <f>IFERROR(VLOOKUP(C25,Productos!$A$2:$C$13,3,FALSE),"No encontrado")</f>
        <v>22000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8510-6C12-4A0C-8A69-D417DCF60417}">
  <sheetPr>
    <tabColor theme="5" tint="0.39997558519241921"/>
  </sheetPr>
  <dimension ref="A1:F15"/>
  <sheetViews>
    <sheetView tabSelected="1" workbookViewId="0">
      <selection activeCell="B13" sqref="B13:C13"/>
    </sheetView>
  </sheetViews>
  <sheetFormatPr baseColWidth="10" defaultRowHeight="14.4"/>
  <cols>
    <col min="3" max="3" width="12" customWidth="1"/>
    <col min="4" max="4" width="15.6640625" customWidth="1"/>
    <col min="6" max="6" width="24.44140625" customWidth="1"/>
  </cols>
  <sheetData>
    <row r="1" spans="1:6">
      <c r="A1" s="3"/>
      <c r="B1" s="3"/>
      <c r="C1" s="4" t="s">
        <v>109</v>
      </c>
      <c r="D1" s="4"/>
      <c r="E1" s="4"/>
      <c r="F1" s="5" t="s">
        <v>110</v>
      </c>
    </row>
    <row r="2" spans="1:6">
      <c r="A2" s="3"/>
      <c r="B2" s="3"/>
      <c r="C2" s="4"/>
      <c r="D2" s="4"/>
      <c r="E2" s="4"/>
      <c r="F2" s="5" t="s">
        <v>111</v>
      </c>
    </row>
    <row r="3" spans="1:6">
      <c r="A3" s="3"/>
      <c r="B3" s="3"/>
      <c r="C3" s="4"/>
      <c r="D3" s="4"/>
      <c r="E3" s="4"/>
      <c r="F3" s="5" t="s">
        <v>112</v>
      </c>
    </row>
    <row r="4" spans="1:6">
      <c r="A4" s="3"/>
      <c r="B4" s="3"/>
      <c r="C4" s="4"/>
      <c r="D4" s="4"/>
      <c r="E4" s="4"/>
      <c r="F4">
        <v>3111234567</v>
      </c>
    </row>
    <row r="5" spans="1:6">
      <c r="A5" s="3"/>
      <c r="B5" s="3"/>
      <c r="C5" s="4"/>
      <c r="D5" s="4"/>
      <c r="E5" s="4"/>
      <c r="F5" s="5" t="s">
        <v>113</v>
      </c>
    </row>
    <row r="6" spans="1:6">
      <c r="A6" s="3"/>
      <c r="B6" s="3"/>
      <c r="C6" s="4"/>
      <c r="D6" s="4"/>
      <c r="E6" s="4"/>
    </row>
    <row r="7" spans="1:6">
      <c r="A7" s="3"/>
      <c r="B7" s="3"/>
      <c r="C7" s="4"/>
      <c r="D7" s="4"/>
      <c r="E7" s="4"/>
    </row>
    <row r="9" spans="1:6">
      <c r="A9" s="6" t="s">
        <v>114</v>
      </c>
      <c r="B9" s="6"/>
      <c r="C9" s="6"/>
      <c r="E9" s="6" t="s">
        <v>116</v>
      </c>
      <c r="F9" s="6"/>
    </row>
    <row r="10" spans="1:6">
      <c r="A10" s="9" t="s">
        <v>61</v>
      </c>
      <c r="B10" s="8"/>
      <c r="C10" s="8"/>
      <c r="E10" s="9" t="s">
        <v>117</v>
      </c>
      <c r="F10" s="7"/>
    </row>
    <row r="11" spans="1:6">
      <c r="A11" s="9" t="s">
        <v>1</v>
      </c>
      <c r="B11" s="8" t="str">
        <f>IFERROR(VLOOKUP(B10,Clientes!$A$2:$E$10,2,FALSE),"No encontrado")</f>
        <v>No encontrado</v>
      </c>
      <c r="C11" s="8"/>
      <c r="E11" s="9" t="s">
        <v>80</v>
      </c>
      <c r="F11" s="7"/>
    </row>
    <row r="12" spans="1:6">
      <c r="A12" s="9" t="s">
        <v>115</v>
      </c>
      <c r="B12" s="8" t="str">
        <f>IFERROR(VLOOKUP(B10,Clientes!$A$2:$E$10,4,FALSE),"No encontrado")</f>
        <v>No encontrado</v>
      </c>
      <c r="C12" s="8"/>
      <c r="E12" s="9" t="s">
        <v>118</v>
      </c>
      <c r="F12" s="7"/>
    </row>
    <row r="13" spans="1:6">
      <c r="A13" s="9" t="s">
        <v>4</v>
      </c>
      <c r="B13" s="8" t="str">
        <f>IFERROR(VLOOKUP(B10,Clientes!$A$2:$E$10,5,FALSE),"No encontrado")</f>
        <v>No encontrado</v>
      </c>
      <c r="C13" s="8"/>
      <c r="E13" s="9" t="s">
        <v>83</v>
      </c>
      <c r="F13" s="7"/>
    </row>
    <row r="14" spans="1:6">
      <c r="A14" s="12"/>
      <c r="B14" s="13"/>
      <c r="C14" s="11"/>
      <c r="D14" s="10"/>
      <c r="E14" s="10"/>
    </row>
    <row r="15" spans="1:6">
      <c r="A15" s="9" t="s">
        <v>119</v>
      </c>
      <c r="B15" s="9" t="s">
        <v>120</v>
      </c>
      <c r="C15" s="9" t="s">
        <v>121</v>
      </c>
      <c r="D15" s="9" t="s">
        <v>122</v>
      </c>
      <c r="E15" s="9" t="s">
        <v>123</v>
      </c>
      <c r="F15" s="9" t="s">
        <v>124</v>
      </c>
    </row>
  </sheetData>
  <mergeCells count="8">
    <mergeCell ref="B13:C13"/>
    <mergeCell ref="E9:F9"/>
    <mergeCell ref="A1:B7"/>
    <mergeCell ref="C1:E7"/>
    <mergeCell ref="A9:C9"/>
    <mergeCell ref="B10:C10"/>
    <mergeCell ref="B11:C11"/>
    <mergeCell ref="B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Productos</vt:lpstr>
      <vt:lpstr>Vendedores</vt:lpstr>
      <vt:lpstr>Ventas_2026</vt:lpstr>
      <vt:lpstr>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2026-06-12T15:27:00Z</dcterms:created>
  <dcterms:modified xsi:type="dcterms:W3CDTF">2026-06-13T04:55:52Z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6DA5D76B897E4C12B3133FABEB72D296_13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